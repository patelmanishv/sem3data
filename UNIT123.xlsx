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ish\Desktop\"/>
    </mc:Choice>
  </mc:AlternateContent>
  <xr:revisionPtr revIDLastSave="0" documentId="13_ncr:1_{6EF60F0F-A2DE-485C-ADE8-D7E524506C7F}" xr6:coauthVersionLast="47" xr6:coauthVersionMax="47" xr10:uidLastSave="{00000000-0000-0000-0000-000000000000}"/>
  <workbookProtection workbookAlgorithmName="SHA-512" workbookHashValue="GZus4z41l+hTkKXQcjvt0Q5ZwW3iIkwhSkN4iIE8kvsDul1d8auKTyIpE1/MxrPeUGCpA/UOgeYUHFY1BdrBzA==" workbookSaltValue="P7+eo8mtyN8K4q0oFPVNTA==" workbookSpinCount="100000" lockStructure="1"/>
  <bookViews>
    <workbookView xWindow="-120" yWindow="-120" windowWidth="20730" windowHeight="11160" xr2:uid="{00000000-000D-0000-FFFF-FFFF00000000}"/>
  </bookViews>
  <sheets>
    <sheet name="MCQ TEST SHEET" sheetId="1" r:id="rId1"/>
    <sheet name="After Exam Data Entry" sheetId="3" state="hidden" r:id="rId2"/>
    <sheet name="Marks Sheet" sheetId="2" state="hidden" r:id="rId3"/>
  </sheets>
  <definedNames>
    <definedName name="Options">'Marks Sheet'!$M$6:$M$155</definedName>
    <definedName name="_xlnm.Print_Area" localSheetId="2">'Marks Sheet'!$A$2:$I$159</definedName>
    <definedName name="_xlnm.Print_Area" localSheetId="0">'MCQ TEST SHEET'!$A$1:$G$34</definedName>
    <definedName name="_xlnm.Print_Titles" localSheetId="2">'Marks Sheet'!$5:$5</definedName>
  </definedNames>
  <calcPr calcId="181029"/>
</workbook>
</file>

<file path=xl/calcChain.xml><?xml version="1.0" encoding="utf-8"?>
<calcChain xmlns="http://schemas.openxmlformats.org/spreadsheetml/2006/main">
  <c r="F134" i="2" l="1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C120" i="2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D120" i="2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G113" i="2" l="1"/>
  <c r="G97" i="2"/>
  <c r="G73" i="2"/>
  <c r="G69" i="2"/>
  <c r="G65" i="2"/>
  <c r="G57" i="2"/>
  <c r="G53" i="2"/>
  <c r="G49" i="2"/>
  <c r="G45" i="2"/>
  <c r="G41" i="2"/>
  <c r="G37" i="2"/>
  <c r="G33" i="2"/>
  <c r="G25" i="2"/>
  <c r="G21" i="2"/>
  <c r="G17" i="2"/>
  <c r="G9" i="2"/>
  <c r="G143" i="2"/>
  <c r="G109" i="2"/>
  <c r="G81" i="2"/>
  <c r="G151" i="2"/>
  <c r="G125" i="2"/>
  <c r="G93" i="2"/>
  <c r="G77" i="2"/>
  <c r="G61" i="2"/>
  <c r="G29" i="2"/>
  <c r="G13" i="2"/>
  <c r="G135" i="2"/>
  <c r="G150" i="2"/>
  <c r="G142" i="2"/>
  <c r="G134" i="2"/>
  <c r="G129" i="2"/>
  <c r="G117" i="2"/>
  <c r="G105" i="2"/>
  <c r="G85" i="2"/>
  <c r="G132" i="2"/>
  <c r="G128" i="2"/>
  <c r="G124" i="2"/>
  <c r="G120" i="2"/>
  <c r="G116" i="2"/>
  <c r="G112" i="2"/>
  <c r="G108" i="2"/>
  <c r="G104" i="2"/>
  <c r="G100" i="2"/>
  <c r="G96" i="2"/>
  <c r="G92" i="2"/>
  <c r="G88" i="2"/>
  <c r="G84" i="2"/>
  <c r="G80" i="2"/>
  <c r="G76" i="2"/>
  <c r="G72" i="2"/>
  <c r="G68" i="2"/>
  <c r="G64" i="2"/>
  <c r="G60" i="2"/>
  <c r="G56" i="2"/>
  <c r="G52" i="2"/>
  <c r="G48" i="2"/>
  <c r="G44" i="2"/>
  <c r="G40" i="2"/>
  <c r="G36" i="2"/>
  <c r="G32" i="2"/>
  <c r="G28" i="2"/>
  <c r="G24" i="2"/>
  <c r="G20" i="2"/>
  <c r="G16" i="2"/>
  <c r="G12" i="2"/>
  <c r="G8" i="2"/>
  <c r="G154" i="2"/>
  <c r="G146" i="2"/>
  <c r="G138" i="2"/>
  <c r="G133" i="2"/>
  <c r="G121" i="2"/>
  <c r="G101" i="2"/>
  <c r="G89" i="2"/>
  <c r="G155" i="2"/>
  <c r="G147" i="2"/>
  <c r="G139" i="2"/>
  <c r="G131" i="2"/>
  <c r="G127" i="2"/>
  <c r="G123" i="2"/>
  <c r="G119" i="2"/>
  <c r="G115" i="2"/>
  <c r="G111" i="2"/>
  <c r="G107" i="2"/>
  <c r="G103" i="2"/>
  <c r="G99" i="2"/>
  <c r="G95" i="2"/>
  <c r="G91" i="2"/>
  <c r="G87" i="2"/>
  <c r="G83" i="2"/>
  <c r="G79" i="2"/>
  <c r="G75" i="2"/>
  <c r="G71" i="2"/>
  <c r="G67" i="2"/>
  <c r="G63" i="2"/>
  <c r="G59" i="2"/>
  <c r="G55" i="2"/>
  <c r="G51" i="2"/>
  <c r="G47" i="2"/>
  <c r="G43" i="2"/>
  <c r="G39" i="2"/>
  <c r="G35" i="2"/>
  <c r="G31" i="2"/>
  <c r="G27" i="2"/>
  <c r="G23" i="2"/>
  <c r="G19" i="2"/>
  <c r="G15" i="2"/>
  <c r="G11" i="2"/>
  <c r="G7" i="2"/>
  <c r="G153" i="2"/>
  <c r="G149" i="2"/>
  <c r="G145" i="2"/>
  <c r="G141" i="2"/>
  <c r="G137" i="2"/>
  <c r="G130" i="2"/>
  <c r="G126" i="2"/>
  <c r="G122" i="2"/>
  <c r="G118" i="2"/>
  <c r="G114" i="2"/>
  <c r="G110" i="2"/>
  <c r="G106" i="2"/>
  <c r="G102" i="2"/>
  <c r="G98" i="2"/>
  <c r="G94" i="2"/>
  <c r="G90" i="2"/>
  <c r="G86" i="2"/>
  <c r="G82" i="2"/>
  <c r="G78" i="2"/>
  <c r="G74" i="2"/>
  <c r="G70" i="2"/>
  <c r="G66" i="2"/>
  <c r="G62" i="2"/>
  <c r="G58" i="2"/>
  <c r="G54" i="2"/>
  <c r="G50" i="2"/>
  <c r="G46" i="2"/>
  <c r="G42" i="2"/>
  <c r="G38" i="2"/>
  <c r="G34" i="2"/>
  <c r="G30" i="2"/>
  <c r="G26" i="2"/>
  <c r="G22" i="2"/>
  <c r="G18" i="2"/>
  <c r="G14" i="2"/>
  <c r="G10" i="2"/>
  <c r="G6" i="2"/>
  <c r="G152" i="2"/>
  <c r="G148" i="2"/>
  <c r="G144" i="2"/>
  <c r="G140" i="2"/>
  <c r="G136" i="2"/>
  <c r="C157" i="2"/>
  <c r="G157" i="2" l="1"/>
  <c r="G158" i="2" s="1"/>
  <c r="C158" i="2" s="1"/>
  <c r="C160" i="2" l="1"/>
  <c r="D159" i="2" s="1"/>
</calcChain>
</file>

<file path=xl/sharedStrings.xml><?xml version="1.0" encoding="utf-8"?>
<sst xmlns="http://schemas.openxmlformats.org/spreadsheetml/2006/main" count="752" uniqueCount="512">
  <si>
    <t>A</t>
  </si>
  <si>
    <t>B</t>
  </si>
  <si>
    <t>C</t>
  </si>
  <si>
    <t>D</t>
  </si>
  <si>
    <t>Question Number</t>
  </si>
  <si>
    <t>Answer by student</t>
  </si>
  <si>
    <t>Correct Answer</t>
  </si>
  <si>
    <t>Class</t>
  </si>
  <si>
    <t>Div</t>
  </si>
  <si>
    <t>Sub</t>
  </si>
  <si>
    <t>Exam</t>
  </si>
  <si>
    <t>Marks Obtained</t>
  </si>
  <si>
    <t>Marks assigned to this question</t>
  </si>
  <si>
    <t>TOTAL</t>
  </si>
  <si>
    <t>T. Marks</t>
  </si>
  <si>
    <t>Result</t>
  </si>
  <si>
    <t>% Obtained</t>
  </si>
  <si>
    <t>Grade Obtained</t>
  </si>
  <si>
    <t>Negative Marking</t>
  </si>
  <si>
    <t>Marks assigned to the question</t>
  </si>
  <si>
    <t>MCQ Test Mark Sheet</t>
  </si>
  <si>
    <t>Q. No.</t>
  </si>
  <si>
    <t>Enter all relevant data here only after you finish the examination.</t>
  </si>
  <si>
    <t>www.ExcelDataPro.com</t>
  </si>
  <si>
    <t>MCQ Test Sheet</t>
  </si>
  <si>
    <t>QUIZ</t>
  </si>
  <si>
    <t>Sr</t>
  </si>
  <si>
    <t>QUESTIONS</t>
  </si>
  <si>
    <t>Your Answer</t>
  </si>
  <si>
    <t>UNIT</t>
  </si>
  <si>
    <t>YEAR</t>
  </si>
  <si>
    <t>PREPARED BY - PROF MANISH PATEL</t>
  </si>
  <si>
    <t>Error</t>
  </si>
  <si>
    <t>error</t>
  </si>
  <si>
    <t>None</t>
  </si>
  <si>
    <t>PYTHON UNIT 1,2,3 MCQ TEST</t>
  </si>
  <si>
    <t>If x=3.123, then int(x) will give ?</t>
  </si>
  <si>
    <t>Which one of the following is correct way of declaring and initialising a variable, x with value 5?</t>
  </si>
  <si>
    <t>Which of the following is an invalid statement?</t>
  </si>
  <si>
    <t>Which of the following is invalid?</t>
  </si>
  <si>
    <t>Which of the following cannot be a variable?</t>
  </si>
  <si>
    <t>Which of the following is an invalid variable?</t>
  </si>
  <si>
    <t>What happens when '2' == 2 is executed?</t>
  </si>
  <si>
    <t>What will be the output of this program?
_ = '1 2 3 4 5 6'  
print(_)</t>
  </si>
  <si>
    <t>The following is displayed by a print function call. Select all of the function calls that result in this output.
tom
sam
harry</t>
  </si>
  <si>
    <t>What will be the output of the following program on execution?
print(print(print("python")))</t>
  </si>
  <si>
    <t>Which is the correct operator for power(Xy)?</t>
  </si>
  <si>
    <t>What is the answer to this expression, 34 % 3 is?</t>
  </si>
  <si>
    <t>What will be the output of the following program on execution?
a=0
b=6
x=(a or b) or ((a and a) or (a and b))
print(x)</t>
  </si>
  <si>
    <t>What will be the output of the following program on execution?
a=0
b=6
x=(a or b) or ((a and a) or (a and b))
y=not(x)
print(y)</t>
  </si>
  <si>
    <t xml:space="preserve">What will be the output of this program?
print(True ** False / True) </t>
  </si>
  <si>
    <t>What is the average value of the following Python code snippet?
1. &gt;&gt;&gt;grade1 = 80
2. &gt;&gt;&gt;grade2 = 90
3. &gt;&gt;&gt;average = (grade1 + grade2) / 2</t>
  </si>
  <si>
    <t>Which of the following error occurs when you execute the following Python code? 
apple = mango</t>
  </si>
  <si>
    <t>What is the output of this expression, 3*1**3?</t>
  </si>
  <si>
    <t>Select option that will print:
hello-how-are-you</t>
  </si>
  <si>
    <t>In python we do not specify types, it is directly interpreted by the compiler, so consider the following operation to be performed.
&gt;&gt;&gt;A = 27 ? 5
objective is to make sure A has an integer value.</t>
  </si>
  <si>
    <t>Which of the following is not a comparison operator in Python?</t>
  </si>
  <si>
    <t xml:space="preserve">What will be the output of the following program on execution?
a=4
b=6
c=3
print(a+b*c/a-b)
</t>
  </si>
  <si>
    <t>What will be the value of the following Python expression?
8 + 2 % 3</t>
  </si>
  <si>
    <t>What will be the value of x in the following Python expression?
x = int(63.55+8/3)</t>
  </si>
  <si>
    <t>What are the values of the following Python expressions?
 2**(3**2)
 (2**3)**2
 2**3**2</t>
  </si>
  <si>
    <t xml:space="preserve">What will be the output of this program?
print(6 + 5 - 4 * 3 / 2 % 1) </t>
  </si>
  <si>
    <t>What will be the output of this program?
print(int(6 == 6.0) * 3 + 4 % 5)</t>
  </si>
  <si>
    <t>What will be the value of X in the following Python expression?
X = 2+9*((3*12)-8)/10</t>
  </si>
  <si>
    <t>What will be the output of the following Python code?
new= (1 and "True") and ('False' or Train)
str= 'This statement is '+ new
print("This is False" if "False" in new else "This is True")</t>
  </si>
  <si>
    <t>What will be the value of the following Python expression?
8 + 1 % 3</t>
  </si>
  <si>
    <t>What should be the output of the following python code snippet:
x=0.0
y=48&gt;0
z=11&lt;7
print(not(float(x or y or z)))</t>
  </si>
  <si>
    <t>What will be the output of the following Python function in jupyter notebook?
"a"+"bc"</t>
  </si>
  <si>
    <t>What is the order of precedence in python?
i) Parentheses
ii) Division
iii) Multiplication
iv)  Exponential
v) Addition
vi) Subtraction</t>
  </si>
  <si>
    <t>The following is displayed by a print function call. Select all of the function calls that result in this output.
tom
sam
harry</t>
  </si>
  <si>
    <t>What will be the output of the following program on execution?
x=Str("Python is a very\b simple\bsubject")
print(x)</t>
  </si>
  <si>
    <t>What will be the output of the following program.
x = int(43.55+4/6)
print(X)</t>
  </si>
  <si>
    <t>What is the output of the following assignment operator
a=10
b=a-=2
print(b)</t>
  </si>
  <si>
    <t>What will be the output of the following program on execution?
a=4
b=6
c=3
d=2
print(a+d**b*c/a-b)</t>
  </si>
  <si>
    <t>What will be the output of this program?
print(int("6" == 6.0) * 3 + 4 % 5)</t>
  </si>
  <si>
    <t>What will be the output of the following program on execution?
a=0
b=6
c=9
d=10
x=(a or b) and ((a or c) or (b and d))
print(x)</t>
  </si>
  <si>
    <t xml:space="preserve">What will be the value of X in the following Python expression?
X = 2+9*((3*12)-8)/10
print(bool(X)) </t>
  </si>
  <si>
    <t>What will be the datatype of the var in the below code snippet?
var = 10
print(type(var))
var = "Hello"
print(type(var))</t>
  </si>
  <si>
    <t>What will be the output of this program?
print(True * False / True)</t>
  </si>
  <si>
    <t>What is the output of the following python code:
x=125
y=13
x//=y
print(x)</t>
  </si>
  <si>
    <t>What is the output of following python code:
print(bool(0), bool(3.14159), bool(-3), bool(False))</t>
  </si>
  <si>
    <t>a=5
b=10
c=1
print(a**c, b//a, c%a)</t>
  </si>
  <si>
    <t>What is the output of this expression, 3**1**3/True?</t>
  </si>
  <si>
    <t>What will be the output of the following program on execution?
a=0
b=5
a or b ==5 or True + 7 -4 * 3</t>
  </si>
  <si>
    <t>What will be the output of the following program on execution?
a=50
b=60
print((a and b)/False)</t>
  </si>
  <si>
    <t>Which one of the following if statements will not execute successfully:</t>
  </si>
  <si>
    <t>Which of the following are valid if/else statements in Python, assuming x and y are defined appropriately:</t>
  </si>
  <si>
    <t>What does the following code print?
if 4 + 5 == 10:
    print("TRUE")
else:
    print("FALSE")
print("TRUE")</t>
  </si>
  <si>
    <t>What does the following code print?
x = -10
if x &lt; 0:
    print("The negative number ",  x, " is not valid here.")
print("This is always printed")</t>
  </si>
  <si>
    <t>Which of the following is true about the code below?
x = 3
if (x &gt; 2):
    x = x * 2;
if (x &gt; 4):
    x = 0;
print(x)</t>
  </si>
  <si>
    <t>Which one of the following is a valid Python if statement?</t>
  </si>
  <si>
    <t>What keyword would you use to add an alternative condition to an if statement?</t>
  </si>
  <si>
    <t>Which of the following will evaluate to true?
I. True and False
II. False or True
III. False and (True or False)</t>
  </si>
  <si>
    <t>Given two variables, num1 and num2, which of the following would mean that both num1 and num2 are positive integers?</t>
  </si>
  <si>
    <t>What is the output from the following code?
a = 3
b = (a != 3)
print(b)</t>
  </si>
  <si>
    <t>Which of the following evaluates to True when a is equal to b or when a is equal to 5?</t>
  </si>
  <si>
    <t>Which statement will check if a is equal to b?</t>
  </si>
  <si>
    <t>Given the nested if-else structure below, what will be the value of x after code execution completes
x = 0
a = 0
b = -5
if a &gt; 0:
    if b &lt; 0: 
        x = x + 5 
    elif a &gt; 5:
        x = x + 4
    else:
        x = x + 3
else:
    x = x + 4
print(x)</t>
  </si>
  <si>
    <t>Given the nested if-else below, what will be the value x when the code executed successfully
x = 2
a = 5
b = 5
if a &gt; 0:
    if b &lt; 0: 
        x = x + 5 
    elif a &gt; 5:
        x = x + 4
    else:
        x = x + 3
else:
    x = x + 2
print(x)</t>
  </si>
  <si>
    <t>What is the output of the following if statement
a, b = 12, 5
if a + b:
    print('True')
else:
  print('False')</t>
  </si>
  <si>
    <t>Which of the following is not used as loop in Python?</t>
  </si>
  <si>
    <t>A loop becomes infinite loop if a condition never becomes ________.</t>
  </si>
  <si>
    <t>If the else statement is used with a while loop, the else statement is executed when the condition becomes _______.</t>
  </si>
  <si>
    <t>Python programming language allows to use one loop inside another loop known as?</t>
  </si>
  <si>
    <t xml:space="preserve">What will be the output of given Python code?
n=7
c=0
while(n):
    if(n&gt;5):
        c=c+n-1
        n=n-1
    else:
        break
print(n)
print(c) </t>
  </si>
  <si>
    <t>How many times will the loop run?
i=2
while(i&gt;0):
    i=i-1</t>
  </si>
  <si>
    <t>How many times will the condition will be checked?
i=2
while(i&gt;0):
    i=i-1</t>
  </si>
  <si>
    <t>What will be the output of the following Python code?
i = 1
while True:
    if i%3 == 0:
        break
    print(i)
       i + = 1</t>
  </si>
  <si>
    <t>What is the value of the var after the for loop completes its execution
var = 10
for i in range(10):
    for j in range(2, 10, 1):
        if var % 2 == 0:
            continue
            var += 1
    var+=1
else:
    var+=1
print(var)</t>
  </si>
  <si>
    <t>What will be the output of the following Python code?
for i in range(0,2,-1):
    print("Hello")</t>
  </si>
  <si>
    <t>Which of the following is a valid for loop in Python?</t>
  </si>
  <si>
    <t>Which of the following sequences would be generated by the given line of code?
range (5, 0, -2)</t>
  </si>
  <si>
    <t>When does the else statement written after loop execute?</t>
  </si>
  <si>
    <t>What is the output of the following for loop and  range() function
for num in range(-2,-5,-1):
    print(num, end=", ")</t>
  </si>
  <si>
    <t>What will be the output of the following code?
x = 12
for i in x:
    print(i)</t>
  </si>
  <si>
    <t>What is the value of x after the following nested for loop completes its execution
x = 0
for i in range(10):
  for j in range(-1, -10, -1):
    x += 1
    print(x)</t>
  </si>
  <si>
    <t>What is the output of the following range() function
for num in range(2,-5,-1):
    print(num, end=", ")</t>
  </si>
  <si>
    <t>What is the value of x
x = 0
while (x &lt; 100):
  x+=2
print(x)</t>
  </si>
  <si>
    <t>What is the output of the following nested loop
for num in range(10, 14):
   for i in range(2, num):
       if num%i == 1:
          print(num)
          break</t>
  </si>
  <si>
    <t>What will be the output of the following Python code?
i = 1
while True:
    if i%3 == 0:
        break
    print(i)
    i += 1</t>
  </si>
  <si>
    <t>What will be the output of the following Python code?
i = 1
while True:
    if i%2 == 0:
        break
    print(i)
    i += 2</t>
  </si>
  <si>
    <t>What will be the output of the following Python code?
i = 2
while True:
    if i%3 == 0:
        break
    print(i)
    i += 2</t>
  </si>
  <si>
    <t>What will be the output of the following Python code?
i = 1
while False:
    if i%2 == 0:
        break
    print(i)
    i += 2</t>
  </si>
  <si>
    <t>What will be the output of the following Python code?
True = False
while True:
    print(True)
    break</t>
  </si>
  <si>
    <t>What will be the output of the following Python code?
for i in range(0):
    print(i)</t>
  </si>
  <si>
    <t>What will be the output of the following Python code?
for i in range(2.0):
    print(i)</t>
  </si>
  <si>
    <t>What will be the output of the following Python code?
for i in range(int(2.0)):
    print(i)</t>
  </si>
  <si>
    <t>What will be the output of the following Python code?
for i in range(float('inf')):
    print (i)</t>
  </si>
  <si>
    <t>What will be the output of the following Python code?
for i in range(5):
    if i == 5:
        break
    else:
        print(i)
else:
    print("Here")</t>
  </si>
  <si>
    <t>What will be the output of the following Python code?
for i in range(10):
    if i == 5:
        break
    else:
        print(i)
else:
    print("Here")</t>
  </si>
  <si>
    <t>What will be the output of the following Python code snippet?
x = 2
for i in range(x):
    x -= 2
    print (x)</t>
  </si>
  <si>
    <t>What will be the output of the following Python code snippet?
x = 2
for i in range(x):
    x += 1
    print (x)</t>
  </si>
  <si>
    <t>What will be the output of the following Python code?
i = 0
while i &lt; 5:
    print(i)
    i += 1
    if i == 3:
        break
else:
    print(0)</t>
  </si>
  <si>
    <t>What will be the output of the following Python code?
i = 0
while i &lt; 3:
    print(i)
    i += 1
else:
    print(0)</t>
  </si>
  <si>
    <t>What will be the output of the following Python code?
x = 2
for i in range(x):
    x -= 2
    print (x)</t>
  </si>
  <si>
    <t>The continue statement can be used in?</t>
  </si>
  <si>
    <t>What is the output of following  python code?
int("Enter value of x:") 
for in range[0, 10]: 
    print("They are equal") 
else: 
    print( "They are unequal")</t>
  </si>
  <si>
    <t>What is the output of following python code?
a = 5
b = 5.0
print('yes') if (a == b) else 'no'</t>
  </si>
  <si>
    <t>What is the output of following  python code?
a = b = 0
if (a = b):
    print(0) 
else:
    print('otherwise')</t>
  </si>
  <si>
    <t>What is the output of following  python code?
Step = 3 
for e in range(0, step): 
    if e%2==0: 
        print('hello') 
    else: 
        print('goodbye')</t>
  </si>
  <si>
    <t>What will be the output of the following Python code?
x = 123
for i in x:
    print(i)</t>
  </si>
  <si>
    <t>What is the output of the following snippet?
theSum = 0
for count in range(2, 11, 2):
    theSum += count
print(theSum)</t>
  </si>
  <si>
    <t>What will be the output of the following snippet?
a = True
b = False
c = False
if not a or b:
    print (1)
elif not a or not b and c:
    print (2)
elif not a or b or not b and a:
    print (3)
else:
    print (4)</t>
  </si>
  <si>
    <t>What will be the output of the following Python code?
var = 10
for i in range(5):
     for j in range(2, 3, 1):
          if var%2 == 0:
              break
          var += 1
     var+=1
else:
     var+=1
print(var)</t>
  </si>
  <si>
    <t>What will be output of following code?
A=70
if A&gt;90:
    print('Grade A')
elif A&gt;70 and A&lt;90:
    print('Grade B')
elif A&gt;50 and A&lt;70:
    print('Grade C')
elif A&gt;35 and A&lt;50:
    print('Grade D')
else:
    print('Fail')</t>
  </si>
  <si>
    <t>What will be output of following code?
seconds=3650
if seconds&gt;=3600:
    hour=seconds//3600
    seconds %= 3600
    print(hour,"hours",end=" ")
if seconds&gt;=60:
    minute=seconds//60
    seconds %= 60
    print(minute,"minutes",end=" ")
if seconds&gt;0:
    print(seconds,"seconds")</t>
  </si>
  <si>
    <t>What will be output of following code?
A=0
for i in range(4):
    if i%2==0:
        pass
    else:
        continue
        break
    A+=1
print(A)</t>
  </si>
  <si>
    <t>What will be the output of the following code snippet?
count = 0
while(True):
   if count % 3 == 0:
       print(count, end = " ")
   if(count &gt; 15):
       break;
   count += 1</t>
  </si>
  <si>
    <t>What is the output of the following code?
a = True
b = False
c = True
if not a or b:
    print ("a")
elif not a or not b and c:
    print ("b")
elif not a or b or not b and a:
    print ("c")
else:
    print ("d")</t>
  </si>
  <si>
    <t>What does the following code print?
if 5 + 5 == 10:
      print("TRUE")
else:
      print("FALSE")
print("TRUE")</t>
  </si>
  <si>
    <t>Which of the following will evaluate to true?
I. True and False
II. False or True
III. False and (True or False)
IV. True and (True or False)</t>
  </si>
  <si>
    <t>What is the output of the following nested loop
for num in range(26, 30):
      for i in range(2, num):
            if num%i == 1:
                print(num, end=’,’)
                break</t>
  </si>
  <si>
    <t>What is the value of the var after the for loop completes its execution:
var = 10
for i in range(10):
    for j in range(2, 10, 1):
        if var % 2 == 0:
            var += 1
            continue
    var+=1
else:
    var+=1
print(var)</t>
  </si>
  <si>
    <t>What should be the output of the following python code snippet:
a=5
b=7
c=2
if a&gt;b:
    a,b = b,a
if a&gt;c:
    a,c = c,a
if b&gt;c:
    b,c = c,b
print(a,b,c,end=",")</t>
  </si>
  <si>
    <t>What is the value of x after the following nested for loop completes its execution
x = 0
for i in range(1,10):
    for j in range(-1, -10, -1):
        x += 1
        print(x)</t>
  </si>
  <si>
    <t>What is the value of x
x = 0
while (x &lt; 100):
    x+=3
print(x)</t>
  </si>
  <si>
    <t>What will be the output of the following program.
if (9 &lt; 0) and (0 &lt; -9):
    print("hello")
elif (9 &gt; 0) or False:
    print("good")
else:
print("bad")</t>
  </si>
  <si>
    <t>What is the output of the following code?
c=1
s=0
while c&lt;=8:
    c=c-1
    s=s+c
    c=c+2
print(s)</t>
  </si>
  <si>
    <t xml:space="preserve">Which of the following lines contains an error?
</t>
  </si>
  <si>
    <t>While executing tis code, which line will produce an error:</t>
  </si>
  <si>
    <t xml:space="preserve">What is the output of the following code?                                                                                                                                              
val = 154
while(not(val)):
    val**=2
else:
    val//=2
print(val) </t>
  </si>
  <si>
    <t>What is the output of the following code?
n=10
i=1
while(i&lt;=n):
    k=0
    if(n%i==0):
        j=1
        while(j&lt;=i):
            if(i%j==0):
                k=k+1
            j=j+1
        if(k==2):
            print(i,end=" ")
    i=i+1</t>
  </si>
  <si>
    <t xml:space="preserve">What will be the output of Python code?
i,j=1,4
while True:
    if(i%7==0 or j%9==0):
        break
    i+=1
    j+=1
print(i,j)    </t>
  </si>
  <si>
    <t>What will be the output of the following Python code?
def C2F(c):
    return c * 9/5 + 32
print(C2F(100))
print(C2F(0))</t>
  </si>
  <si>
    <t>What will be the output of the following Python code?
def function1(var1=5, var2=7):
    var2=9
    var1=3
    print (var1, " ", var2)
function1(10,12)</t>
  </si>
  <si>
    <t>What will be the output of the following Python code?
def maximum(x, y):
    if x &gt; y:
        return x
    elif x == y:
        return 'The numbers are equal'
    else:
        return y
print(maximum(2, 3))</t>
  </si>
  <si>
    <t>What will be the output of the following Python code?
def power(x, y=2):
    r = 1
    for i in range(y):
       r = r * x
    return r
print(power(3))
print(power(3,3))</t>
  </si>
  <si>
    <t>What will be the output of the following Python code?
x = 50
def func():
    global x
    print('x is', x)
    x = 2
    print('Changed global x to', x)
func()
print('Value of x is', x)</t>
  </si>
  <si>
    <t>What is the output of the add() function call? 
def add(a, b):
    return a+5, b+5
result = add(3, 2)
print(result)</t>
  </si>
  <si>
    <t>What will be the output of the following Python code?
def change(i = 1, j = 2):
    i = i + j
    j = j + 1
    print(i, j)
change(j = 1, i = 2)</t>
  </si>
  <si>
    <t>What will be the output of the following Python code?
def cube(x):
    return x*x*x
x = cube(3)
print(x)</t>
  </si>
  <si>
    <t>What will be the output of the following Python code?
def func(a, b=5, c=10):
    print('a is', a, 'and b is', b, 'and c is', c)
func(3, 7)
func(25, c = 24)
func(c = 50, a = 100)</t>
  </si>
  <si>
    <t>What will be the output of the following Python code?
def function1(var1,var2=5):
    var1=2
    var3=var1*var2
    return var3
var1=3
print(function1(var1,var2))</t>
  </si>
  <si>
    <t>What will be the output of the following Python code?
def printMax(a, b):
    if a &gt; b:
        print(a, 'is maximum')
    elif a == b:
        print(a, 'is equal to', b)
    else:
        print(b, 'is maximum')
printMax(3, 4)</t>
  </si>
  <si>
    <t>What will be the output of the following Python code?
i=0
def change(i):
   i=i+1
   return i
change(1)
print(i)</t>
  </si>
  <si>
    <t>What is the output of the following function call? 
def fun1(num):
    return num + 25
fun1(5)
print(num)</t>
  </si>
  <si>
    <t>What will be the last line of the output of the following Python code if test_fib(6) is called?
def fib(x):
    global num_fib_calls
    num_fib_calls += 1
    if x == 0 or x == 1:
        return 1
    else:
        return fib(x-1) + fib(x-2)
def test_fib(n):
    for i in range(n+1):
        global num_fib_calls
        num_fib_calls = 0
        print('fib of', i, '=', fib(i))
        print('fib called', num_fib_calls, 'times.')</t>
  </si>
  <si>
    <t>What will be the output of the following Python code?
def f(p, q, r):
    global s
    p = 10
    q = 20
    r = 30
    s = 40
    print(p,q,r,s)
p,q,r,s = 1,2,3,4
f(5,10,15)</t>
  </si>
  <si>
    <t>If number of arguments in function definition and function call does not match, then which type of error is returned?</t>
  </si>
  <si>
    <t>What will be the output of the following Python code?
def power(x, y=3):
    r = 1
    for i in range(y):
        r = r * x
    return r
print(power(3),end=" ")
print(power(3,3))</t>
  </si>
  <si>
    <t>Select which is true for Python function:
i) A function is a code block that only executes when called and always returns a value.
ii) A function only executes when it is called and we can reuse it in a program.
iii) Python doesn’t support nested function</t>
  </si>
  <si>
    <t>What will be the output of the following Python code?
def function1(var1=7,var2=5):
    var1=2
    var3=var1*var2
    return var3
var2=6
var1=3
print(function1(var1,var2))</t>
  </si>
  <si>
    <t>What will be the output of the following Python code?
def fun(a=5,b=10,c):
    print(a**2,b//a,c**1)
fun(20,c=30)</t>
  </si>
  <si>
    <t xml:space="preserve">What will be the output of the following python code?
car=20
bike=10
cycle=30
def new_Pur():
    global bike,cycle
    car=30
    bike=20
    cycle=50
new_Pur()
print(car+10," ",bike+5," ",cycle+5)
</t>
  </si>
  <si>
    <t>What will be the output of the following Python code?
def f():
    print(x,end=" ")
    return y
def f():
    print(y,end=" ")
    return 
x=5
y=4
print(f())</t>
  </si>
  <si>
    <t>int x
x=5</t>
  </si>
  <si>
    <t>int x=5</t>
  </si>
  <si>
    <t>x=5</t>
  </si>
  <si>
    <t>declare x=5</t>
  </si>
  <si>
    <t>abc = 1,000,000</t>
  </si>
  <si>
    <t>a b c = 1000 2000 3000</t>
  </si>
  <si>
    <t>a,b,c = 1000, 2000, 3000</t>
  </si>
  <si>
    <t>a_b_c = 1,000,000</t>
  </si>
  <si>
    <t>_x = 1</t>
  </si>
  <si>
    <t>__x = 1</t>
  </si>
  <si>
    <t xml:space="preserve"> __x__ = 1</t>
  </si>
  <si>
    <t>None of the mentioned</t>
  </si>
  <si>
    <t>__in__</t>
  </si>
  <si>
    <t>in</t>
  </si>
  <si>
    <t>it</t>
  </si>
  <si>
    <t>__it__</t>
  </si>
  <si>
    <t>char_1</t>
  </si>
  <si>
    <t>1st_char</t>
  </si>
  <si>
    <t>oopec</t>
  </si>
  <si>
    <t>_</t>
  </si>
  <si>
    <t>True</t>
  </si>
  <si>
    <t>False</t>
  </si>
  <si>
    <t>ValueError</t>
  </si>
  <si>
    <t>TypeError</t>
  </si>
  <si>
    <t>SyntaxError: EOL while scanning string literal</t>
  </si>
  <si>
    <t>SyntaxError: invalid syntax</t>
  </si>
  <si>
    <t>NameError: name '_' is not defined</t>
  </si>
  <si>
    <t>1 2 3 4 5 6</t>
  </si>
  <si>
    <t>print('''tom
\nsam
\nharry''')</t>
  </si>
  <si>
    <t>print(”’tomsamharry”’)</t>
  </si>
  <si>
    <t>print(‘tom\nsam\nharry’)</t>
  </si>
  <si>
    <t>print('tom
sam
harry')</t>
  </si>
  <si>
    <t>None
None 
python</t>
  </si>
  <si>
    <t>python
None
None</t>
  </si>
  <si>
    <t>python</t>
  </si>
  <si>
    <t xml:space="preserve"> X^y</t>
  </si>
  <si>
    <t>X**y</t>
  </si>
  <si>
    <t>X^^y</t>
  </si>
  <si>
    <t>True ** False / True</t>
  </si>
  <si>
    <t>Type Error</t>
  </si>
  <si>
    <t>Value Error</t>
  </si>
  <si>
    <t>Name Error</t>
  </si>
  <si>
    <t>Syntax Error</t>
  </si>
  <si>
    <t>print(‘hello-‘ + ‘how-are-you’)</t>
  </si>
  <si>
    <t>print(‘hello’, ‘how’, ‘are’, ‘you’)</t>
  </si>
  <si>
    <t>print(‘hello’, ‘how’, ‘are’, ‘you’ + ‘-‘ * 4)</t>
  </si>
  <si>
    <t>print(‘hello’ + ‘-‘ + ‘how’ + ‘-‘ + ‘are’ + ‘you’)</t>
  </si>
  <si>
    <t>A = 27 // 5</t>
  </si>
  <si>
    <t>A = int(27 / 5)</t>
  </si>
  <si>
    <t>A = 27 % 5</t>
  </si>
  <si>
    <t>All of the mentioned</t>
  </si>
  <si>
    <t>&gt;=</t>
  </si>
  <si>
    <t>&lt;=</t>
  </si>
  <si>
    <t>=</t>
  </si>
  <si>
    <t>!=</t>
  </si>
  <si>
    <t>64, 512, 64</t>
  </si>
  <si>
    <t>64, 64, 64</t>
  </si>
  <si>
    <t>512, 512, 512</t>
  </si>
  <si>
    <t>512, 64, 512</t>
  </si>
  <si>
    <t>This is True</t>
  </si>
  <si>
    <t>NameError – Train not defined</t>
  </si>
  <si>
    <t>This is False</t>
  </si>
  <si>
    <t>Syntax Error – invalid syntax</t>
  </si>
  <si>
    <t>No output</t>
  </si>
  <si>
    <t>a+bc</t>
  </si>
  <si>
    <t>abc</t>
  </si>
  <si>
    <t>a+bc'</t>
  </si>
  <si>
    <t>'abc'</t>
  </si>
  <si>
    <t>i,ii,iii,iv,v,vi</t>
  </si>
  <si>
    <t>i,iv,iii,ii,v,vi</t>
  </si>
  <si>
    <t>i,ii,iii,iv,vi,v</t>
  </si>
  <si>
    <t>ii,i,iv,iii,v,vi</t>
  </si>
  <si>
    <t>print('''tom
\tsam
\tharry''')</t>
  </si>
  <si>
    <t>Python is a verysimpleubject</t>
  </si>
  <si>
    <t xml:space="preserve">Python is a versimplsubject          </t>
  </si>
  <si>
    <t xml:space="preserve">Name Error           </t>
  </si>
  <si>
    <t>None of mentioned</t>
  </si>
  <si>
    <t>int</t>
  </si>
  <si>
    <t>int,str</t>
  </si>
  <si>
    <t>str</t>
  </si>
  <si>
    <t>str,str</t>
  </si>
  <si>
    <t>0.0</t>
  </si>
  <si>
    <t>1.0</t>
  </si>
  <si>
    <t>125/13</t>
  </si>
  <si>
    <t>False True True False</t>
  </si>
  <si>
    <t>True True True False</t>
  </si>
  <si>
    <t>False False True False</t>
  </si>
  <si>
    <t>False True False False</t>
  </si>
  <si>
    <t>5 2 2</t>
  </si>
  <si>
    <t>5 2 1</t>
  </si>
  <si>
    <t>5 2 5</t>
  </si>
  <si>
    <t>5 10 5</t>
  </si>
  <si>
    <t>1x=1</t>
  </si>
  <si>
    <t>x1=1</t>
  </si>
  <si>
    <t>__x__=1</t>
  </si>
  <si>
    <t>_x=1</t>
  </si>
  <si>
    <t xml:space="preserve">True  </t>
  </si>
  <si>
    <t xml:space="preserve">False  </t>
  </si>
  <si>
    <t>if (1, 2):
    print('foo')</t>
  </si>
  <si>
    <t>if (1, 2): print('foo')</t>
  </si>
  <si>
    <t>if (1, 2):
                print('foo')</t>
  </si>
  <si>
    <t>if (1, 2):
print('foo')</t>
  </si>
  <si>
    <t>if x &lt; y: print('foo')
elif y &lt; x: print('bar')
else: print('baz')</t>
  </si>
  <si>
    <t>if x &lt; y: if x &gt; 10: print('foo')</t>
  </si>
  <si>
    <t>if x &lt; y: print('foo') else: print('bar')</t>
  </si>
  <si>
    <t xml:space="preserve">None of mentioned </t>
  </si>
  <si>
    <t>TRUE
  FALSE</t>
  </si>
  <si>
    <t>FALSE
  TRUE</t>
  </si>
  <si>
    <t>TRUE
  FALSE
  TRUE</t>
  </si>
  <si>
    <t>This is always printed</t>
  </si>
  <si>
    <t>The negative number -10 is not valid here.
This is always printed</t>
  </si>
  <si>
    <t>The negative number -10 is not valid here</t>
  </si>
  <si>
    <t>It will cause an error because every if statement must have an else statement.</t>
  </si>
  <si>
    <t>x will always equal 0 after this code executes for any value of x</t>
  </si>
  <si>
    <t>if x is greater than 2, the value in x will be doubled after this code executes</t>
  </si>
  <si>
    <t>if x is greater than 2, x will equal 0 after this code executes</t>
  </si>
  <si>
    <t>if a&gt;=2 :</t>
  </si>
  <si>
    <t>if (a &gt;= 2)</t>
  </si>
  <si>
    <t>if (a =&gt; 22)</t>
  </si>
  <si>
    <t>if a &gt;= 22</t>
  </si>
  <si>
    <t>else if</t>
  </si>
  <si>
    <t>elseif</t>
  </si>
  <si>
    <t>elif</t>
  </si>
  <si>
    <t>None of the above</t>
  </si>
  <si>
    <t>I</t>
  </si>
  <si>
    <t>II</t>
  </si>
  <si>
    <t>I and II</t>
  </si>
  <si>
    <t>II and III</t>
  </si>
  <si>
    <t>(num1 == num2)</t>
  </si>
  <si>
    <t>(num1 == num2) or (num1 &gt; 0)</t>
  </si>
  <si>
    <t>(num1 == num2) and (num1 &lt; 0)</t>
  </si>
  <si>
    <t>(num1 == num2) and (num1 &gt; 0)</t>
  </si>
  <si>
    <t xml:space="preserve">True </t>
  </si>
  <si>
    <t xml:space="preserve">False    </t>
  </si>
  <si>
    <t>a == b == 5</t>
  </si>
  <si>
    <t>a = b or a = 5</t>
  </si>
  <si>
    <t>a == b or a == 5</t>
  </si>
  <si>
    <t>a = b and a = 5</t>
  </si>
  <si>
    <t>if a = b:</t>
  </si>
  <si>
    <t>if a == b:</t>
  </si>
  <si>
    <t>if a === c:</t>
  </si>
  <si>
    <t>if a == b</t>
  </si>
  <si>
    <t xml:space="preserve">False
</t>
  </si>
  <si>
    <t xml:space="preserve">True
  </t>
  </si>
  <si>
    <t>Can't predict</t>
  </si>
  <si>
    <t>None of these</t>
  </si>
  <si>
    <t>for loop</t>
  </si>
  <si>
    <t>while loop</t>
  </si>
  <si>
    <t>do-while loop</t>
  </si>
  <si>
    <t>Null</t>
  </si>
  <si>
    <t>Both A and C</t>
  </si>
  <si>
    <t>Infinite</t>
  </si>
  <si>
    <t>switch</t>
  </si>
  <si>
    <t>foreach</t>
  </si>
  <si>
    <t>nested</t>
  </si>
  <si>
    <t>forall</t>
  </si>
  <si>
    <t>4
16</t>
  </si>
  <si>
    <t>5
11</t>
  </si>
  <si>
    <t>6
7</t>
  </si>
  <si>
    <t>5
10</t>
  </si>
  <si>
    <t>1
2</t>
  </si>
  <si>
    <t>1
2
3</t>
  </si>
  <si>
    <t>Hello</t>
  </si>
  <si>
    <t>Hello Hello</t>
  </si>
  <si>
    <t>No Output</t>
  </si>
  <si>
    <t>for(i=0; i &lt; n; i++)</t>
  </si>
  <si>
    <t>for i in range(0,5):</t>
  </si>
  <si>
    <t>for i in range(0,5)</t>
  </si>
  <si>
    <t>for i in range(5)</t>
  </si>
  <si>
    <t>5 4 3 2 1 0 -1</t>
  </si>
  <si>
    <t>5 4 3 2 1 0</t>
  </si>
  <si>
    <t>5 3 1</t>
  </si>
  <si>
    <t>When break statement is executed in the loop</t>
  </si>
  <si>
    <t>When loop condition becomes false</t>
  </si>
  <si>
    <t>Else statement is always executed</t>
  </si>
  <si>
    <t xml:space="preserve"> -2, -1, -3, -4</t>
  </si>
  <si>
    <t>-2, -1, 0, 1, 2, 3,</t>
  </si>
  <si>
    <t>-2, -1, 0</t>
  </si>
  <si>
    <t xml:space="preserve"> -2, -3, -4,</t>
  </si>
  <si>
    <t>1 2</t>
  </si>
  <si>
    <t>2, 1, 0</t>
  </si>
  <si>
    <t>2, 1, 0, -1, -2, -3, -4, -5</t>
  </si>
  <si>
    <t>2, 1, 0, -1, -2, -3, -4</t>
  </si>
  <si>
    <t>None of the above, this is an infinite loop</t>
  </si>
  <si>
    <t>11
12
13
14</t>
  </si>
  <si>
    <t>10
11
12
13</t>
  </si>
  <si>
    <t xml:space="preserve">9
10
11
12
</t>
  </si>
  <si>
    <t>12
13
14
15</t>
  </si>
  <si>
    <t>1
2
3
4
5
6…</t>
  </si>
  <si>
    <t>1 
3 
5 
7 
9 
11 …</t>
  </si>
  <si>
    <t>2
4
6
8
10..</t>
  </si>
  <si>
    <t>2
4</t>
  </si>
  <si>
    <t>2
3</t>
  </si>
  <si>
    <t>1
3
5
7..</t>
  </si>
  <si>
    <t>1
2
3
4..</t>
  </si>
  <si>
    <t>0.0 1.0</t>
  </si>
  <si>
    <t>0 1</t>
  </si>
  <si>
    <t>0.0 0.1 0.2 0.3 …</t>
  </si>
  <si>
    <t>0 1 2 3 …</t>
  </si>
  <si>
    <t>0.0 1.0 2.0 3.0 …</t>
  </si>
  <si>
    <t>0
1
2
3
4
Here</t>
  </si>
  <si>
    <t>0
1
2
3
4
5
Here</t>
  </si>
  <si>
    <t>0
1
2
3
4</t>
  </si>
  <si>
    <t>1
2
3
4
5</t>
  </si>
  <si>
    <t>0
-2</t>
  </si>
  <si>
    <t>0
1
2
3
4..</t>
  </si>
  <si>
    <t>0
1</t>
  </si>
  <si>
    <t>3
4</t>
  </si>
  <si>
    <t>0
1
2
3</t>
  </si>
  <si>
    <t>0
1
2</t>
  </si>
  <si>
    <t>0
1
2
0</t>
  </si>
  <si>
    <t>0
1
2
3
0</t>
  </si>
  <si>
    <t>0 
1 
2 
3 
4 …</t>
  </si>
  <si>
    <t>0 
-2</t>
  </si>
  <si>
    <t>do-while</t>
  </si>
  <si>
    <t>Both A and B</t>
  </si>
  <si>
    <t>They are unequal</t>
  </si>
  <si>
    <t>They are equal</t>
  </si>
  <si>
    <t>0,1,2,3,4,5,6,7,8,9</t>
  </si>
  <si>
    <t>SyntaxError</t>
  </si>
  <si>
    <t>yes</t>
  </si>
  <si>
    <t>no</t>
  </si>
  <si>
    <t>ZeroError</t>
  </si>
  <si>
    <t>NameError</t>
  </si>
  <si>
    <t xml:space="preserve">1 2 3         </t>
  </si>
  <si>
    <t xml:space="preserve">Type Error        </t>
  </si>
  <si>
    <t xml:space="preserve">Key Error       </t>
  </si>
  <si>
    <t>Grade A</t>
  </si>
  <si>
    <t>Grade B</t>
  </si>
  <si>
    <t>Grade C</t>
  </si>
  <si>
    <t>Fail</t>
  </si>
  <si>
    <t>1 hours 50 seconds</t>
  </si>
  <si>
    <t>1 hours 0 minutes 50 seconds</t>
  </si>
  <si>
    <t>1 hours 50 minutes</t>
  </si>
  <si>
    <t>0 hours 0 minutes 3650 seconds</t>
  </si>
  <si>
    <t xml:space="preserve">0 3 6 9 12 15  </t>
  </si>
  <si>
    <t xml:space="preserve">0 1 2 3 </t>
  </si>
  <si>
    <t xml:space="preserve">0 3 6 9 </t>
  </si>
  <si>
    <t xml:space="preserve">0 3 6 9 12 </t>
  </si>
  <si>
    <t>a</t>
  </si>
  <si>
    <t>b</t>
  </si>
  <si>
    <t>c</t>
  </si>
  <si>
    <t>d</t>
  </si>
  <si>
    <t xml:space="preserve">TRUE </t>
  </si>
  <si>
    <t xml:space="preserve">FALSE    </t>
  </si>
  <si>
    <t>TRUE
FALSE</t>
  </si>
  <si>
    <t>TRUE
TRUE</t>
  </si>
  <si>
    <t>I, II</t>
  </si>
  <si>
    <t>II, IV</t>
  </si>
  <si>
    <t>26,27,28</t>
  </si>
  <si>
    <t>26,27,28,29</t>
  </si>
  <si>
    <t>26,27,28,29,</t>
  </si>
  <si>
    <t>27,29</t>
  </si>
  <si>
    <t>2,5,7</t>
  </si>
  <si>
    <t>7,5,2</t>
  </si>
  <si>
    <t>2 5 7,</t>
  </si>
  <si>
    <t>7 5 2,</t>
  </si>
  <si>
    <t xml:space="preserve">Indentation error          </t>
  </si>
  <si>
    <t>hello</t>
  </si>
  <si>
    <t>good</t>
  </si>
  <si>
    <t>bad</t>
  </si>
  <si>
    <t>line 2</t>
  </si>
  <si>
    <t>line 6</t>
  </si>
  <si>
    <t>line 5</t>
  </si>
  <si>
    <t>No error</t>
  </si>
  <si>
    <t>line 7</t>
  </si>
  <si>
    <t>line 9</t>
  </si>
  <si>
    <t>line 12</t>
  </si>
  <si>
    <t>2        5</t>
  </si>
  <si>
    <t>5 9</t>
  </si>
  <si>
    <t>6 7</t>
  </si>
  <si>
    <t>6 9</t>
  </si>
  <si>
    <t>7 9</t>
  </si>
  <si>
    <t>5 4</t>
  </si>
  <si>
    <t>212
32</t>
  </si>
  <si>
    <t>212.0
32.0</t>
  </si>
  <si>
    <t>567
98</t>
  </si>
  <si>
    <t>5   7</t>
  </si>
  <si>
    <t>3   9</t>
  </si>
  <si>
    <t>10   12</t>
  </si>
  <si>
    <t>The numbers are equal</t>
  </si>
  <si>
    <t>9
27</t>
  </si>
  <si>
    <t>x is 50
Changed global x to 2
Value of x is 50</t>
  </si>
  <si>
    <t>x is 50
Changed global x to 2
Value of x is 2</t>
  </si>
  <si>
    <t>x is 50
Changed global x to 50
Value of x is 50</t>
  </si>
  <si>
    <t>(8,7)</t>
  </si>
  <si>
    <t>3 3</t>
  </si>
  <si>
    <t>3 2</t>
  </si>
  <si>
    <t>An exception is thrown because of conflicting values</t>
  </si>
  <si>
    <t>a is 7 and b is 3 and c is 10
a is 25 and b is 5 and c is 24
a is 5 and b is 100 and c is 50</t>
  </si>
  <si>
    <t>a is 3 and b is 7 and c is 10
a is 5 and b is 25 and c is 24
a is 50 and b is 100 and c is 5</t>
  </si>
  <si>
    <t>a is 3 and b is 7 and c is 10
a is 25 and b is 5 and c is 24
a is 100 and b is 5 and c is 50</t>
  </si>
  <si>
    <t>Error as var2 is not defined while calling the function</t>
  </si>
  <si>
    <t>Does not give any error as var2 is a default argument</t>
  </si>
  <si>
    <t>4 is maximum</t>
  </si>
  <si>
    <t>Nothing is displayed</t>
  </si>
  <si>
    <t>An exception is thrown</t>
  </si>
  <si>
    <t>fib called 5 times</t>
  </si>
  <si>
    <t>fib called 10 times</t>
  </si>
  <si>
    <t>fib called 20 times</t>
  </si>
  <si>
    <t>fib called 25 times</t>
  </si>
  <si>
    <t>10 20 30 40</t>
  </si>
  <si>
    <t>10 20 30 4</t>
  </si>
  <si>
    <t>1 2 3 40</t>
  </si>
  <si>
    <t>1 2 3 4</t>
  </si>
  <si>
    <t>ImportError</t>
  </si>
  <si>
    <t xml:space="preserve">funError </t>
  </si>
  <si>
    <t>9 9</t>
  </si>
  <si>
    <t>27 27</t>
  </si>
  <si>
    <t>9 27</t>
  </si>
  <si>
    <t>only i</t>
  </si>
  <si>
    <t xml:space="preserve">only ii </t>
  </si>
  <si>
    <t>I &amp; ii</t>
  </si>
  <si>
    <t>I &amp; iii</t>
  </si>
  <si>
    <t>400     1         5</t>
  </si>
  <si>
    <t xml:space="preserve">25        2        5  </t>
  </si>
  <si>
    <t xml:space="preserve">400      2      30 </t>
  </si>
  <si>
    <t>30  15  35</t>
  </si>
  <si>
    <t>30  25  55</t>
  </si>
  <si>
    <t>30  25  35</t>
  </si>
  <si>
    <t>20  25  55</t>
  </si>
  <si>
    <t xml:space="preserve">4 None  </t>
  </si>
  <si>
    <t>4 5</t>
  </si>
  <si>
    <t>1,2,3</t>
  </si>
  <si>
    <t>A2/A5/A7</t>
  </si>
  <si>
    <t>SEM III</t>
  </si>
  <si>
    <t>PYTHON-1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</si>
</sst>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>
    <font>
      <sz val="11"/>
      <color theme="1"/>
      <name val="Calibri"/>
      <family val="2"/>
      <scheme val="minor"/>
    </font>
    <font>
      <sz val="12"/>
      <color theme="1"/>
      <name val="Andalus"/>
      <family val="1"/>
    </font>
    <font>
      <u/>
      <sz val="11"/>
      <color theme="10"/>
      <name val="Calibri"/>
      <family val="2"/>
    </font>
    <font>
      <b/>
      <sz val="12"/>
      <color theme="0"/>
      <name val="Andalus"/>
      <family val="1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Andalus"/>
      <family val="1"/>
    </font>
    <font>
      <b/>
      <u/>
      <sz val="22"/>
      <color rgb="FFFF0000"/>
      <name val="Andalus"/>
      <family val="1"/>
    </font>
    <font>
      <b/>
      <sz val="25"/>
      <color theme="0"/>
      <name val="Lucida Calligraphy"/>
      <family val="4"/>
    </font>
    <font>
      <b/>
      <u/>
      <sz val="30"/>
      <color rgb="FFFFFF00"/>
      <name val="Lucida Calligraphy"/>
      <family val="4"/>
    </font>
    <font>
      <b/>
      <sz val="30"/>
      <color rgb="FFFFFF00"/>
      <name val="Lucida Calligraphy"/>
      <family val="4"/>
    </font>
    <font>
      <sz val="1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8"/>
      <color theme="1"/>
      <name val="Andalus"/>
      <family val="1"/>
    </font>
    <font>
      <sz val="22"/>
      <color theme="1"/>
      <name val="Andalus"/>
      <family val="1"/>
    </font>
    <font>
      <sz val="28"/>
      <color theme="1"/>
      <name val="Andalus"/>
      <family val="1"/>
    </font>
    <font>
      <b/>
      <sz val="28"/>
      <color theme="1"/>
      <name val="Andalus"/>
      <family val="1"/>
    </font>
    <font>
      <b/>
      <sz val="48"/>
      <color theme="0"/>
      <name val="Lucida Calligraphy"/>
      <family val="4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sz val="22"/>
      <color theme="9" tint="-0.249977111117893"/>
      <name val="Lucida Calligraphy"/>
      <family val="4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9" fillId="2" borderId="2" xfId="1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vertical="center" wrapText="1"/>
      <protection locked="0"/>
    </xf>
    <xf numFmtId="0" fontId="10" fillId="2" borderId="6" xfId="0" applyFont="1" applyFill="1" applyBorder="1" applyAlignment="1" applyProtection="1">
      <alignment vertical="center" wrapText="1"/>
      <protection locked="0"/>
    </xf>
    <xf numFmtId="0" fontId="15" fillId="2" borderId="7" xfId="0" applyFont="1" applyFill="1" applyBorder="1" applyProtection="1">
      <protection locked="0"/>
    </xf>
    <xf numFmtId="0" fontId="1" fillId="0" borderId="0" xfId="0" applyFont="1" applyProtection="1"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vertical="center" wrapText="1"/>
      <protection locked="0"/>
    </xf>
    <xf numFmtId="0" fontId="8" fillId="2" borderId="0" xfId="0" applyFont="1" applyFill="1" applyAlignment="1" applyProtection="1">
      <alignment vertical="center" wrapText="1"/>
      <protection locked="0"/>
    </xf>
    <xf numFmtId="0" fontId="15" fillId="2" borderId="21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Protection="1">
      <protection locked="0"/>
    </xf>
    <xf numFmtId="0" fontId="19" fillId="6" borderId="20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vertical="center"/>
      <protection locked="0"/>
    </xf>
    <xf numFmtId="0" fontId="3" fillId="0" borderId="4" xfId="0" applyFont="1" applyBorder="1" applyProtection="1"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0" fontId="3" fillId="0" borderId="7" xfId="0" applyFont="1" applyBorder="1" applyProtection="1">
      <protection locked="0"/>
    </xf>
    <xf numFmtId="0" fontId="6" fillId="5" borderId="0" xfId="0" applyFont="1" applyFill="1" applyAlignment="1" applyProtection="1">
      <alignment vertical="center" wrapText="1"/>
      <protection locked="0"/>
    </xf>
    <xf numFmtId="0" fontId="12" fillId="3" borderId="19" xfId="0" applyFont="1" applyFill="1" applyBorder="1" applyAlignment="1" applyProtection="1">
      <alignment horizontal="center" vertical="center" wrapText="1"/>
      <protection locked="0"/>
    </xf>
    <xf numFmtId="0" fontId="12" fillId="3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12" fillId="3" borderId="1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0" applyNumberFormat="1" applyProtection="1">
      <protection locked="0"/>
    </xf>
    <xf numFmtId="0" fontId="12" fillId="3" borderId="13" xfId="0" applyFont="1" applyFill="1" applyBorder="1" applyAlignment="1" applyProtection="1">
      <alignment vertical="center"/>
      <protection locked="0"/>
    </xf>
    <xf numFmtId="0" fontId="12" fillId="3" borderId="17" xfId="0" applyFont="1" applyFill="1" applyBorder="1" applyAlignment="1" applyProtection="1">
      <alignment vertical="center"/>
      <protection locked="0"/>
    </xf>
    <xf numFmtId="0" fontId="6" fillId="2" borderId="9" xfId="0" applyFont="1" applyFill="1" applyBorder="1" applyAlignment="1" applyProtection="1">
      <alignment vertical="center"/>
      <protection locked="0"/>
    </xf>
    <xf numFmtId="0" fontId="12" fillId="3" borderId="5" xfId="0" applyFont="1" applyFill="1" applyBorder="1" applyProtection="1">
      <protection locked="0"/>
    </xf>
    <xf numFmtId="0" fontId="12" fillId="3" borderId="7" xfId="0" applyFont="1" applyFill="1" applyBorder="1" applyProtection="1">
      <protection locked="0"/>
    </xf>
    <xf numFmtId="0" fontId="12" fillId="3" borderId="11" xfId="0" applyFont="1" applyFill="1" applyBorder="1" applyAlignment="1" applyProtection="1">
      <alignment vertical="center"/>
      <protection locked="0"/>
    </xf>
    <xf numFmtId="0" fontId="12" fillId="3" borderId="12" xfId="0" applyFont="1" applyFill="1" applyBorder="1" applyAlignment="1" applyProtection="1">
      <alignment vertical="center"/>
      <protection locked="0"/>
    </xf>
    <xf numFmtId="0" fontId="16" fillId="7" borderId="20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 applyProtection="1">
      <alignment horizontal="center" vertical="center" wrapText="1"/>
      <protection locked="0"/>
    </xf>
    <xf numFmtId="0" fontId="16" fillId="6" borderId="20" xfId="0" applyFont="1" applyFill="1" applyBorder="1" applyAlignment="1" applyProtection="1">
      <alignment horizontal="center" vertical="center" wrapText="1"/>
      <protection locked="0"/>
    </xf>
    <xf numFmtId="0" fontId="16" fillId="7" borderId="23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6" fillId="7" borderId="26" xfId="0" applyFont="1" applyFill="1" applyBorder="1" applyAlignment="1">
      <alignment horizontal="center" vertical="center" wrapText="1"/>
    </xf>
    <xf numFmtId="49" fontId="18" fillId="6" borderId="27" xfId="0" applyNumberFormat="1" applyFont="1" applyFill="1" applyBorder="1" applyAlignment="1">
      <alignment horizontal="left" vertical="top" wrapText="1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64" fontId="5" fillId="2" borderId="13" xfId="0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 applyProtection="1">
      <alignment horizontal="center" vertical="center"/>
      <protection locked="0"/>
    </xf>
    <xf numFmtId="0" fontId="20" fillId="2" borderId="25" xfId="0" applyFont="1" applyFill="1" applyBorder="1" applyAlignment="1" applyProtection="1">
      <alignment horizontal="center" vertical="center"/>
      <protection locked="0"/>
    </xf>
    <xf numFmtId="0" fontId="20" fillId="2" borderId="24" xfId="0" applyFont="1" applyFill="1" applyBorder="1" applyAlignment="1" applyProtection="1">
      <alignment horizontal="center" vertical="center"/>
      <protection locked="0"/>
    </xf>
    <xf numFmtId="0" fontId="20" fillId="2" borderId="22" xfId="0" applyFont="1" applyFill="1" applyBorder="1" applyAlignment="1" applyProtection="1">
      <alignment horizontal="center" vertical="center"/>
      <protection locked="0"/>
    </xf>
    <xf numFmtId="0" fontId="7" fillId="3" borderId="16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18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12" fillId="3" borderId="13" xfId="0" applyFont="1" applyFill="1" applyBorder="1" applyAlignment="1" applyProtection="1">
      <alignment horizontal="center" vertical="center"/>
      <protection locked="0"/>
    </xf>
    <xf numFmtId="0" fontId="12" fillId="3" borderId="17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3">
    <dxf>
      <font>
        <color rgb="FFFF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00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tabSelected="1" topLeftCell="A3" zoomScale="50" zoomScaleNormal="50" zoomScaleSheetLayoutView="80" workbookViewId="0">
      <pane xSplit="2" ySplit="4" topLeftCell="C145" activePane="bottomRight" state="frozen"/>
      <selection activeCell="A3" sqref="A3"/>
      <selection pane="topRight" activeCell="C3" sqref="C3"/>
      <selection pane="bottomLeft" activeCell="A6" sqref="A6"/>
      <selection pane="bottomRight" activeCell="G11" sqref="G11"/>
    </sheetView>
  </sheetViews>
  <sheetFormatPr defaultColWidth="9.140625" defaultRowHeight="35.25"/>
  <cols>
    <col min="1" max="1" width="17.28515625" style="15" customWidth="1"/>
    <col min="2" max="2" width="142.85546875" style="16" customWidth="1"/>
    <col min="3" max="6" width="35.85546875" style="16" customWidth="1"/>
    <col min="7" max="7" width="23.5703125" style="17" customWidth="1"/>
    <col min="8" max="16384" width="9.140625" style="8"/>
  </cols>
  <sheetData>
    <row r="1" spans="1:7" ht="61.5" hidden="1" customHeight="1" thickBot="1">
      <c r="A1" s="4" t="s">
        <v>23</v>
      </c>
      <c r="B1" s="5"/>
      <c r="C1" s="6"/>
      <c r="D1" s="6"/>
      <c r="E1" s="6"/>
      <c r="F1" s="6"/>
      <c r="G1" s="7"/>
    </row>
    <row r="2" spans="1:7" ht="39.75" hidden="1" customHeight="1" thickBot="1">
      <c r="A2" s="9" t="s">
        <v>24</v>
      </c>
      <c r="B2" s="10"/>
      <c r="C2" s="11"/>
      <c r="D2" s="11"/>
      <c r="E2" s="11"/>
      <c r="F2" s="11"/>
      <c r="G2" s="12"/>
    </row>
    <row r="3" spans="1:7" ht="39.75" customHeight="1">
      <c r="A3" s="60" t="s">
        <v>35</v>
      </c>
      <c r="B3" s="60"/>
      <c r="C3" s="60"/>
      <c r="D3" s="60"/>
      <c r="E3" s="60"/>
      <c r="F3" s="60"/>
      <c r="G3" s="60"/>
    </row>
    <row r="4" spans="1:7" ht="39.75" customHeight="1">
      <c r="A4" s="60"/>
      <c r="B4" s="60"/>
      <c r="C4" s="60"/>
      <c r="D4" s="60"/>
      <c r="E4" s="60"/>
      <c r="F4" s="60"/>
      <c r="G4" s="60"/>
    </row>
    <row r="5" spans="1:7" ht="39.75" customHeight="1" thickBot="1">
      <c r="A5" s="61" t="s">
        <v>31</v>
      </c>
      <c r="B5" s="62"/>
      <c r="C5" s="63"/>
      <c r="D5" s="63"/>
      <c r="E5" s="63"/>
      <c r="F5" s="63"/>
      <c r="G5" s="64"/>
    </row>
    <row r="6" spans="1:7" s="13" customFormat="1" ht="69">
      <c r="A6" s="50" t="s">
        <v>26</v>
      </c>
      <c r="B6" s="54" t="s">
        <v>27</v>
      </c>
      <c r="C6" s="52" t="s">
        <v>0</v>
      </c>
      <c r="D6" s="47" t="s">
        <v>1</v>
      </c>
      <c r="E6" s="47" t="s">
        <v>2</v>
      </c>
      <c r="F6" s="47" t="s">
        <v>3</v>
      </c>
      <c r="G6" s="48" t="s">
        <v>28</v>
      </c>
    </row>
    <row r="7" spans="1:7" ht="34.5">
      <c r="A7" s="51">
        <v>1</v>
      </c>
      <c r="B7" s="55" t="s">
        <v>36</v>
      </c>
      <c r="C7" s="53">
        <v>1</v>
      </c>
      <c r="D7" s="18">
        <v>3</v>
      </c>
      <c r="E7" s="18">
        <v>4</v>
      </c>
      <c r="F7" s="18">
        <v>3.12</v>
      </c>
      <c r="G7" s="49"/>
    </row>
    <row r="8" spans="1:7" s="14" customFormat="1" ht="52.5">
      <c r="A8" s="51">
        <v>2</v>
      </c>
      <c r="B8" s="55" t="s">
        <v>37</v>
      </c>
      <c r="C8" s="53" t="s">
        <v>185</v>
      </c>
      <c r="D8" s="18" t="s">
        <v>186</v>
      </c>
      <c r="E8" s="18" t="s">
        <v>187</v>
      </c>
      <c r="F8" s="18" t="s">
        <v>188</v>
      </c>
      <c r="G8" s="49"/>
    </row>
    <row r="9" spans="1:7" s="14" customFormat="1" ht="52.5">
      <c r="A9" s="51">
        <v>3</v>
      </c>
      <c r="B9" s="55" t="s">
        <v>38</v>
      </c>
      <c r="C9" s="53" t="s">
        <v>189</v>
      </c>
      <c r="D9" s="18" t="s">
        <v>190</v>
      </c>
      <c r="E9" s="18" t="s">
        <v>191</v>
      </c>
      <c r="F9" s="18" t="s">
        <v>192</v>
      </c>
      <c r="G9" s="49"/>
    </row>
    <row r="10" spans="1:7" s="14" customFormat="1" ht="52.5">
      <c r="A10" s="51">
        <v>4</v>
      </c>
      <c r="B10" s="55" t="s">
        <v>39</v>
      </c>
      <c r="C10" s="53" t="s">
        <v>193</v>
      </c>
      <c r="D10" s="18" t="s">
        <v>194</v>
      </c>
      <c r="E10" s="18" t="s">
        <v>195</v>
      </c>
      <c r="F10" s="18" t="s">
        <v>196</v>
      </c>
      <c r="G10" s="49"/>
    </row>
    <row r="11" spans="1:7" s="14" customFormat="1" ht="34.5">
      <c r="A11" s="51">
        <v>5</v>
      </c>
      <c r="B11" s="55" t="s">
        <v>40</v>
      </c>
      <c r="C11" s="53" t="s">
        <v>197</v>
      </c>
      <c r="D11" s="18" t="s">
        <v>198</v>
      </c>
      <c r="E11" s="18" t="s">
        <v>199</v>
      </c>
      <c r="F11" s="18" t="s">
        <v>200</v>
      </c>
      <c r="G11" s="49"/>
    </row>
    <row r="12" spans="1:7" s="14" customFormat="1" ht="34.5">
      <c r="A12" s="51">
        <v>6</v>
      </c>
      <c r="B12" s="55" t="s">
        <v>41</v>
      </c>
      <c r="C12" s="53" t="s">
        <v>201</v>
      </c>
      <c r="D12" s="18" t="s">
        <v>202</v>
      </c>
      <c r="E12" s="18" t="s">
        <v>203</v>
      </c>
      <c r="F12" s="18" t="s">
        <v>204</v>
      </c>
      <c r="G12" s="49"/>
    </row>
    <row r="13" spans="1:7" s="14" customFormat="1" ht="34.5">
      <c r="A13" s="51">
        <v>7</v>
      </c>
      <c r="B13" s="55" t="s">
        <v>42</v>
      </c>
      <c r="C13" s="53" t="s">
        <v>205</v>
      </c>
      <c r="D13" s="18" t="s">
        <v>206</v>
      </c>
      <c r="E13" s="18" t="s">
        <v>207</v>
      </c>
      <c r="F13" s="18" t="s">
        <v>208</v>
      </c>
      <c r="G13" s="49"/>
    </row>
    <row r="14" spans="1:7" s="14" customFormat="1" ht="78.75">
      <c r="A14" s="51">
        <v>8</v>
      </c>
      <c r="B14" s="55" t="s">
        <v>43</v>
      </c>
      <c r="C14" s="53" t="s">
        <v>209</v>
      </c>
      <c r="D14" s="18" t="s">
        <v>210</v>
      </c>
      <c r="E14" s="18" t="s">
        <v>211</v>
      </c>
      <c r="F14" s="18" t="s">
        <v>212</v>
      </c>
      <c r="G14" s="49"/>
    </row>
    <row r="15" spans="1:7" s="14" customFormat="1" ht="116.25">
      <c r="A15" s="51">
        <v>9</v>
      </c>
      <c r="B15" s="55" t="s">
        <v>44</v>
      </c>
      <c r="C15" s="53" t="s">
        <v>213</v>
      </c>
      <c r="D15" s="18" t="s">
        <v>214</v>
      </c>
      <c r="E15" s="18" t="s">
        <v>215</v>
      </c>
      <c r="F15" s="18" t="s">
        <v>216</v>
      </c>
      <c r="G15" s="49"/>
    </row>
    <row r="16" spans="1:7" s="14" customFormat="1" ht="78.75">
      <c r="A16" s="51">
        <v>10</v>
      </c>
      <c r="B16" s="55" t="s">
        <v>45</v>
      </c>
      <c r="C16" s="53" t="s">
        <v>217</v>
      </c>
      <c r="D16" s="18" t="s">
        <v>218</v>
      </c>
      <c r="E16" s="18" t="s">
        <v>219</v>
      </c>
      <c r="F16" s="18" t="s">
        <v>32</v>
      </c>
      <c r="G16" s="49"/>
    </row>
    <row r="17" spans="1:7" s="14" customFormat="1" ht="52.5">
      <c r="A17" s="51">
        <v>11</v>
      </c>
      <c r="B17" s="55" t="s">
        <v>46</v>
      </c>
      <c r="C17" s="53" t="s">
        <v>220</v>
      </c>
      <c r="D17" s="18" t="s">
        <v>221</v>
      </c>
      <c r="E17" s="18" t="s">
        <v>222</v>
      </c>
      <c r="F17" s="18" t="s">
        <v>196</v>
      </c>
      <c r="G17" s="49"/>
    </row>
    <row r="18" spans="1:7" s="14" customFormat="1" ht="34.5">
      <c r="A18" s="51">
        <v>12</v>
      </c>
      <c r="B18" s="55" t="s">
        <v>47</v>
      </c>
      <c r="C18" s="53">
        <v>7</v>
      </c>
      <c r="D18" s="18">
        <v>1</v>
      </c>
      <c r="E18" s="18">
        <v>0</v>
      </c>
      <c r="F18" s="18">
        <v>5</v>
      </c>
      <c r="G18" s="49"/>
    </row>
    <row r="19" spans="1:7" s="14" customFormat="1" ht="139.5">
      <c r="A19" s="51">
        <v>13</v>
      </c>
      <c r="B19" s="55" t="s">
        <v>48</v>
      </c>
      <c r="C19" s="53">
        <v>0</v>
      </c>
      <c r="D19" s="18">
        <v>6</v>
      </c>
      <c r="E19" s="18" t="s">
        <v>205</v>
      </c>
      <c r="F19" s="18" t="s">
        <v>206</v>
      </c>
      <c r="G19" s="49"/>
    </row>
    <row r="20" spans="1:7" s="14" customFormat="1" ht="162.75">
      <c r="A20" s="51">
        <v>14</v>
      </c>
      <c r="B20" s="55" t="s">
        <v>49</v>
      </c>
      <c r="C20" s="53">
        <v>0</v>
      </c>
      <c r="D20" s="18">
        <v>6</v>
      </c>
      <c r="E20" s="18" t="s">
        <v>205</v>
      </c>
      <c r="F20" s="18" t="s">
        <v>206</v>
      </c>
      <c r="G20" s="49"/>
    </row>
    <row r="21" spans="1:7" s="14" customFormat="1" ht="46.5">
      <c r="A21" s="51">
        <v>15</v>
      </c>
      <c r="B21" s="55" t="s">
        <v>50</v>
      </c>
      <c r="C21" s="53" t="s">
        <v>223</v>
      </c>
      <c r="D21" s="18">
        <v>1</v>
      </c>
      <c r="E21" s="18">
        <v>0</v>
      </c>
      <c r="F21" s="18" t="s">
        <v>32</v>
      </c>
      <c r="G21" s="49"/>
    </row>
    <row r="22" spans="1:7" s="14" customFormat="1" ht="93">
      <c r="A22" s="51">
        <v>16</v>
      </c>
      <c r="B22" s="55" t="s">
        <v>51</v>
      </c>
      <c r="C22" s="53">
        <v>84.5</v>
      </c>
      <c r="D22" s="18">
        <v>86</v>
      </c>
      <c r="E22" s="18">
        <v>84</v>
      </c>
      <c r="F22" s="18">
        <v>85</v>
      </c>
      <c r="G22" s="49"/>
    </row>
    <row r="23" spans="1:7" s="14" customFormat="1" ht="46.5">
      <c r="A23" s="51">
        <v>17</v>
      </c>
      <c r="B23" s="55" t="s">
        <v>52</v>
      </c>
      <c r="C23" s="53" t="s">
        <v>224</v>
      </c>
      <c r="D23" s="18" t="s">
        <v>225</v>
      </c>
      <c r="E23" s="18" t="s">
        <v>226</v>
      </c>
      <c r="F23" s="18" t="s">
        <v>227</v>
      </c>
      <c r="G23" s="49"/>
    </row>
    <row r="24" spans="1:7" s="14" customFormat="1" ht="34.5">
      <c r="A24" s="51">
        <v>18</v>
      </c>
      <c r="B24" s="55" t="s">
        <v>53</v>
      </c>
      <c r="C24" s="53">
        <v>1</v>
      </c>
      <c r="D24" s="18">
        <v>3</v>
      </c>
      <c r="E24" s="18">
        <v>9</v>
      </c>
      <c r="F24" s="18">
        <v>27</v>
      </c>
      <c r="G24" s="49"/>
    </row>
    <row r="25" spans="1:7" s="14" customFormat="1" ht="78.75">
      <c r="A25" s="51">
        <v>19</v>
      </c>
      <c r="B25" s="55" t="s">
        <v>54</v>
      </c>
      <c r="C25" s="53" t="s">
        <v>228</v>
      </c>
      <c r="D25" s="18" t="s">
        <v>229</v>
      </c>
      <c r="E25" s="18" t="s">
        <v>230</v>
      </c>
      <c r="F25" s="18" t="s">
        <v>231</v>
      </c>
      <c r="G25" s="49"/>
    </row>
    <row r="26" spans="1:7" s="14" customFormat="1" ht="93">
      <c r="A26" s="51">
        <v>20</v>
      </c>
      <c r="B26" s="55" t="s">
        <v>55</v>
      </c>
      <c r="C26" s="53" t="s">
        <v>232</v>
      </c>
      <c r="D26" s="18" t="s">
        <v>233</v>
      </c>
      <c r="E26" s="18" t="s">
        <v>234</v>
      </c>
      <c r="F26" s="18" t="s">
        <v>235</v>
      </c>
      <c r="G26" s="49"/>
    </row>
    <row r="27" spans="1:7" s="14" customFormat="1" ht="34.5">
      <c r="A27" s="51">
        <v>21</v>
      </c>
      <c r="B27" s="55" t="s">
        <v>56</v>
      </c>
      <c r="C27" s="53" t="s">
        <v>236</v>
      </c>
      <c r="D27" s="18" t="s">
        <v>237</v>
      </c>
      <c r="E27" s="18" t="s">
        <v>238</v>
      </c>
      <c r="F27" s="18" t="s">
        <v>239</v>
      </c>
      <c r="G27" s="49"/>
    </row>
    <row r="28" spans="1:7" s="14" customFormat="1" ht="139.5">
      <c r="A28" s="51">
        <v>22</v>
      </c>
      <c r="B28" s="55" t="s">
        <v>57</v>
      </c>
      <c r="C28" s="53">
        <v>1.5</v>
      </c>
      <c r="D28" s="18">
        <v>2</v>
      </c>
      <c r="E28" s="18">
        <v>2.5</v>
      </c>
      <c r="F28" s="18">
        <v>3</v>
      </c>
      <c r="G28" s="49"/>
    </row>
    <row r="29" spans="1:7" s="14" customFormat="1" ht="46.5">
      <c r="A29" s="51">
        <v>23</v>
      </c>
      <c r="B29" s="55" t="s">
        <v>58</v>
      </c>
      <c r="C29" s="53">
        <v>10</v>
      </c>
      <c r="D29" s="18">
        <v>8</v>
      </c>
      <c r="E29" s="18">
        <v>9</v>
      </c>
      <c r="F29" s="18">
        <v>7</v>
      </c>
      <c r="G29" s="49"/>
    </row>
    <row r="30" spans="1:7" s="14" customFormat="1" ht="46.5">
      <c r="A30" s="51">
        <v>24</v>
      </c>
      <c r="B30" s="55" t="s">
        <v>59</v>
      </c>
      <c r="C30" s="53">
        <v>65</v>
      </c>
      <c r="D30" s="18">
        <v>66</v>
      </c>
      <c r="E30" s="18">
        <v>23</v>
      </c>
      <c r="F30" s="18">
        <v>24</v>
      </c>
      <c r="G30" s="49"/>
    </row>
    <row r="31" spans="1:7" s="14" customFormat="1" ht="93">
      <c r="A31" s="51">
        <v>25</v>
      </c>
      <c r="B31" s="55" t="s">
        <v>60</v>
      </c>
      <c r="C31" s="53" t="s">
        <v>240</v>
      </c>
      <c r="D31" s="18" t="s">
        <v>241</v>
      </c>
      <c r="E31" s="18" t="s">
        <v>242</v>
      </c>
      <c r="F31" s="18" t="s">
        <v>243</v>
      </c>
      <c r="G31" s="49"/>
    </row>
    <row r="32" spans="1:7" s="14" customFormat="1" ht="46.5">
      <c r="A32" s="51">
        <v>26</v>
      </c>
      <c r="B32" s="55" t="s">
        <v>61</v>
      </c>
      <c r="C32" s="53">
        <v>15</v>
      </c>
      <c r="D32" s="18">
        <v>7</v>
      </c>
      <c r="E32" s="18">
        <v>11</v>
      </c>
      <c r="F32" s="18">
        <v>10</v>
      </c>
      <c r="G32" s="49"/>
    </row>
    <row r="33" spans="1:7" s="14" customFormat="1" ht="46.5">
      <c r="A33" s="51">
        <v>27</v>
      </c>
      <c r="B33" s="55" t="s">
        <v>62</v>
      </c>
      <c r="C33" s="53" t="s">
        <v>32</v>
      </c>
      <c r="D33" s="18">
        <v>22</v>
      </c>
      <c r="E33" s="18">
        <v>7</v>
      </c>
      <c r="F33" s="18">
        <v>18</v>
      </c>
      <c r="G33" s="49"/>
    </row>
    <row r="34" spans="1:7" s="14" customFormat="1" ht="69.75">
      <c r="A34" s="51">
        <v>28</v>
      </c>
      <c r="B34" s="55" t="s">
        <v>63</v>
      </c>
      <c r="C34" s="53">
        <v>30</v>
      </c>
      <c r="D34" s="18">
        <v>30.8</v>
      </c>
      <c r="E34" s="18">
        <v>28.4</v>
      </c>
      <c r="F34" s="18">
        <v>27.2</v>
      </c>
      <c r="G34" s="49"/>
    </row>
    <row r="35" spans="1:7" ht="93">
      <c r="A35" s="51">
        <v>29</v>
      </c>
      <c r="B35" s="55" t="s">
        <v>64</v>
      </c>
      <c r="C35" s="53" t="s">
        <v>244</v>
      </c>
      <c r="D35" s="18" t="s">
        <v>245</v>
      </c>
      <c r="E35" s="18" t="s">
        <v>246</v>
      </c>
      <c r="F35" s="18" t="s">
        <v>247</v>
      </c>
      <c r="G35" s="49"/>
    </row>
    <row r="36" spans="1:7" ht="46.5">
      <c r="A36" s="51">
        <v>30</v>
      </c>
      <c r="B36" s="55" t="s">
        <v>65</v>
      </c>
      <c r="C36" s="53">
        <v>8</v>
      </c>
      <c r="D36" s="18">
        <v>9</v>
      </c>
      <c r="E36" s="18">
        <v>10</v>
      </c>
      <c r="F36" s="18">
        <v>11</v>
      </c>
      <c r="G36" s="49"/>
    </row>
    <row r="37" spans="1:7" ht="116.25">
      <c r="A37" s="51">
        <v>31</v>
      </c>
      <c r="B37" s="55" t="s">
        <v>66</v>
      </c>
      <c r="C37" s="53" t="s">
        <v>205</v>
      </c>
      <c r="D37" s="18" t="s">
        <v>206</v>
      </c>
      <c r="E37" s="18" t="s">
        <v>32</v>
      </c>
      <c r="F37" s="18" t="s">
        <v>248</v>
      </c>
      <c r="G37" s="49"/>
    </row>
    <row r="38" spans="1:7" ht="46.5">
      <c r="A38" s="51">
        <v>32</v>
      </c>
      <c r="B38" s="55" t="s">
        <v>67</v>
      </c>
      <c r="C38" s="53" t="s">
        <v>249</v>
      </c>
      <c r="D38" s="18" t="s">
        <v>250</v>
      </c>
      <c r="E38" s="18" t="s">
        <v>251</v>
      </c>
      <c r="F38" s="18" t="s">
        <v>252</v>
      </c>
      <c r="G38" s="49"/>
    </row>
    <row r="39" spans="1:7" ht="162.75">
      <c r="A39" s="51">
        <v>33</v>
      </c>
      <c r="B39" s="55" t="s">
        <v>68</v>
      </c>
      <c r="C39" s="53" t="s">
        <v>253</v>
      </c>
      <c r="D39" s="18" t="s">
        <v>254</v>
      </c>
      <c r="E39" s="18" t="s">
        <v>255</v>
      </c>
      <c r="F39" s="18" t="s">
        <v>256</v>
      </c>
      <c r="G39" s="49"/>
    </row>
    <row r="40" spans="1:7" ht="162.75">
      <c r="A40" s="51">
        <v>34</v>
      </c>
      <c r="B40" s="55" t="s">
        <v>69</v>
      </c>
      <c r="C40" s="53" t="s">
        <v>215</v>
      </c>
      <c r="D40" s="18" t="s">
        <v>216</v>
      </c>
      <c r="E40" s="18" t="s">
        <v>257</v>
      </c>
      <c r="F40" s="18" t="s">
        <v>213</v>
      </c>
      <c r="G40" s="49"/>
    </row>
    <row r="41" spans="1:7" ht="93">
      <c r="A41" s="51">
        <v>35</v>
      </c>
      <c r="B41" s="55" t="s">
        <v>70</v>
      </c>
      <c r="C41" s="53" t="s">
        <v>258</v>
      </c>
      <c r="D41" s="18" t="s">
        <v>259</v>
      </c>
      <c r="E41" s="18" t="s">
        <v>260</v>
      </c>
      <c r="F41" s="18" t="s">
        <v>261</v>
      </c>
      <c r="G41" s="49"/>
    </row>
    <row r="42" spans="1:7" ht="69.75">
      <c r="A42" s="51">
        <v>36</v>
      </c>
      <c r="B42" s="55" t="s">
        <v>71</v>
      </c>
      <c r="C42" s="53" t="s">
        <v>260</v>
      </c>
      <c r="D42" s="18">
        <v>22</v>
      </c>
      <c r="E42" s="18">
        <v>43</v>
      </c>
      <c r="F42" s="18">
        <v>8</v>
      </c>
      <c r="G42" s="49"/>
    </row>
    <row r="43" spans="1:7" ht="93">
      <c r="A43" s="51">
        <v>37</v>
      </c>
      <c r="B43" s="55" t="s">
        <v>72</v>
      </c>
      <c r="C43" s="53">
        <v>12</v>
      </c>
      <c r="D43" s="18">
        <v>8</v>
      </c>
      <c r="E43" s="18">
        <v>9</v>
      </c>
      <c r="F43" s="18" t="s">
        <v>227</v>
      </c>
      <c r="G43" s="49"/>
    </row>
    <row r="44" spans="1:7" ht="139.5">
      <c r="A44" s="51">
        <v>38</v>
      </c>
      <c r="B44" s="55" t="s">
        <v>73</v>
      </c>
      <c r="C44" s="53">
        <v>64</v>
      </c>
      <c r="D44" s="18">
        <v>46</v>
      </c>
      <c r="E44" s="18">
        <v>52</v>
      </c>
      <c r="F44" s="18">
        <v>192</v>
      </c>
      <c r="G44" s="49"/>
    </row>
    <row r="45" spans="1:7" ht="46.5">
      <c r="A45" s="51">
        <v>39</v>
      </c>
      <c r="B45" s="55" t="s">
        <v>74</v>
      </c>
      <c r="C45" s="53">
        <v>4</v>
      </c>
      <c r="D45" s="18">
        <v>6</v>
      </c>
      <c r="E45" s="18">
        <v>22</v>
      </c>
      <c r="F45" s="18" t="s">
        <v>32</v>
      </c>
      <c r="G45" s="49"/>
    </row>
    <row r="46" spans="1:7" ht="186">
      <c r="A46" s="51">
        <v>40</v>
      </c>
      <c r="B46" s="55" t="s">
        <v>75</v>
      </c>
      <c r="C46" s="53">
        <v>0</v>
      </c>
      <c r="D46" s="18">
        <v>6</v>
      </c>
      <c r="E46" s="18">
        <v>9</v>
      </c>
      <c r="F46" s="18">
        <v>10</v>
      </c>
      <c r="G46" s="49"/>
    </row>
    <row r="47" spans="1:7" ht="69.75">
      <c r="A47" s="51">
        <v>41</v>
      </c>
      <c r="B47" s="55" t="s">
        <v>76</v>
      </c>
      <c r="C47" s="53" t="s">
        <v>205</v>
      </c>
      <c r="D47" s="18">
        <v>0</v>
      </c>
      <c r="E47" s="18">
        <v>30</v>
      </c>
      <c r="F47" s="18">
        <v>30.8</v>
      </c>
      <c r="G47" s="49"/>
    </row>
    <row r="48" spans="1:7" ht="116.25">
      <c r="A48" s="51">
        <v>42</v>
      </c>
      <c r="B48" s="55" t="s">
        <v>77</v>
      </c>
      <c r="C48" s="53" t="s">
        <v>262</v>
      </c>
      <c r="D48" s="18" t="s">
        <v>263</v>
      </c>
      <c r="E48" s="18" t="s">
        <v>264</v>
      </c>
      <c r="F48" s="18" t="s">
        <v>265</v>
      </c>
      <c r="G48" s="49"/>
    </row>
    <row r="49" spans="1:7" ht="46.5">
      <c r="A49" s="51">
        <v>43</v>
      </c>
      <c r="B49" s="55" t="s">
        <v>78</v>
      </c>
      <c r="C49" s="53">
        <v>0</v>
      </c>
      <c r="D49" s="18" t="s">
        <v>266</v>
      </c>
      <c r="E49" s="18" t="s">
        <v>267</v>
      </c>
      <c r="F49" s="18" t="s">
        <v>32</v>
      </c>
      <c r="G49" s="49"/>
    </row>
    <row r="50" spans="1:7" ht="116.25">
      <c r="A50" s="51">
        <v>44</v>
      </c>
      <c r="B50" s="55" t="s">
        <v>79</v>
      </c>
      <c r="C50" s="53" t="s">
        <v>268</v>
      </c>
      <c r="D50" s="18">
        <v>10</v>
      </c>
      <c r="E50" s="18">
        <v>9</v>
      </c>
      <c r="F50" s="18">
        <v>9.6199999999999992</v>
      </c>
      <c r="G50" s="49"/>
    </row>
    <row r="51" spans="1:7" ht="52.5">
      <c r="A51" s="51">
        <v>45</v>
      </c>
      <c r="B51" s="55" t="s">
        <v>80</v>
      </c>
      <c r="C51" s="53" t="s">
        <v>269</v>
      </c>
      <c r="D51" s="18" t="s">
        <v>270</v>
      </c>
      <c r="E51" s="18" t="s">
        <v>271</v>
      </c>
      <c r="F51" s="18" t="s">
        <v>272</v>
      </c>
      <c r="G51" s="49"/>
    </row>
    <row r="52" spans="1:7" ht="93">
      <c r="A52" s="51">
        <v>46</v>
      </c>
      <c r="B52" s="55" t="s">
        <v>81</v>
      </c>
      <c r="C52" s="53" t="s">
        <v>273</v>
      </c>
      <c r="D52" s="18" t="s">
        <v>274</v>
      </c>
      <c r="E52" s="18" t="s">
        <v>275</v>
      </c>
      <c r="F52" s="18" t="s">
        <v>276</v>
      </c>
      <c r="G52" s="49"/>
    </row>
    <row r="53" spans="1:7" ht="34.5">
      <c r="A53" s="51">
        <v>47</v>
      </c>
      <c r="B53" s="55" t="s">
        <v>39</v>
      </c>
      <c r="C53" s="53" t="s">
        <v>277</v>
      </c>
      <c r="D53" s="18" t="s">
        <v>278</v>
      </c>
      <c r="E53" s="18" t="s">
        <v>279</v>
      </c>
      <c r="F53" s="18" t="s">
        <v>280</v>
      </c>
      <c r="G53" s="49"/>
    </row>
    <row r="54" spans="1:7" ht="34.5">
      <c r="A54" s="51">
        <v>48</v>
      </c>
      <c r="B54" s="55" t="s">
        <v>82</v>
      </c>
      <c r="C54" s="53">
        <v>1</v>
      </c>
      <c r="D54" s="18">
        <v>3</v>
      </c>
      <c r="E54" s="18">
        <v>3</v>
      </c>
      <c r="F54" s="18">
        <v>27</v>
      </c>
      <c r="G54" s="49"/>
    </row>
    <row r="55" spans="1:7" ht="93">
      <c r="A55" s="51">
        <v>49</v>
      </c>
      <c r="B55" s="55" t="s">
        <v>83</v>
      </c>
      <c r="C55" s="53" t="s">
        <v>281</v>
      </c>
      <c r="D55" s="18">
        <v>1</v>
      </c>
      <c r="E55" s="18">
        <v>0</v>
      </c>
      <c r="F55" s="18" t="s">
        <v>282</v>
      </c>
      <c r="G55" s="49"/>
    </row>
    <row r="56" spans="1:7" ht="93">
      <c r="A56" s="51">
        <v>50</v>
      </c>
      <c r="B56" s="55" t="s">
        <v>84</v>
      </c>
      <c r="C56" s="53">
        <v>0</v>
      </c>
      <c r="D56" s="18">
        <v>60</v>
      </c>
      <c r="E56" s="18">
        <v>50</v>
      </c>
      <c r="F56" s="18" t="s">
        <v>32</v>
      </c>
      <c r="G56" s="49"/>
    </row>
    <row r="57" spans="1:7" ht="52.5">
      <c r="A57" s="51">
        <v>51</v>
      </c>
      <c r="B57" s="55" t="s">
        <v>85</v>
      </c>
      <c r="C57" s="53" t="s">
        <v>283</v>
      </c>
      <c r="D57" s="18" t="s">
        <v>284</v>
      </c>
      <c r="E57" s="18" t="s">
        <v>285</v>
      </c>
      <c r="F57" s="18" t="s">
        <v>286</v>
      </c>
      <c r="G57" s="49"/>
    </row>
    <row r="58" spans="1:7" ht="78.75">
      <c r="A58" s="51">
        <v>52</v>
      </c>
      <c r="B58" s="55" t="s">
        <v>86</v>
      </c>
      <c r="C58" s="53" t="s">
        <v>287</v>
      </c>
      <c r="D58" s="18" t="s">
        <v>288</v>
      </c>
      <c r="E58" s="18" t="s">
        <v>289</v>
      </c>
      <c r="F58" s="18" t="s">
        <v>290</v>
      </c>
      <c r="G58" s="49"/>
    </row>
    <row r="59" spans="1:7" ht="139.5">
      <c r="A59" s="51">
        <v>53</v>
      </c>
      <c r="B59" s="55" t="s">
        <v>87</v>
      </c>
      <c r="C59" s="53" t="b">
        <v>1</v>
      </c>
      <c r="D59" s="18" t="s">
        <v>291</v>
      </c>
      <c r="E59" s="18" t="s">
        <v>292</v>
      </c>
      <c r="F59" s="18" t="s">
        <v>293</v>
      </c>
      <c r="G59" s="49"/>
    </row>
    <row r="60" spans="1:7" ht="139.5">
      <c r="A60" s="51">
        <v>54</v>
      </c>
      <c r="B60" s="55" t="s">
        <v>88</v>
      </c>
      <c r="C60" s="53" t="s">
        <v>294</v>
      </c>
      <c r="D60" s="18" t="s">
        <v>295</v>
      </c>
      <c r="E60" s="18" t="s">
        <v>296</v>
      </c>
      <c r="F60" s="18" t="s">
        <v>297</v>
      </c>
      <c r="G60" s="49"/>
    </row>
    <row r="61" spans="1:7" ht="186">
      <c r="A61" s="51">
        <v>55</v>
      </c>
      <c r="B61" s="55" t="s">
        <v>89</v>
      </c>
      <c r="C61" s="53" t="s">
        <v>298</v>
      </c>
      <c r="D61" s="18" t="s">
        <v>299</v>
      </c>
      <c r="E61" s="18" t="s">
        <v>300</v>
      </c>
      <c r="F61" s="18" t="s">
        <v>261</v>
      </c>
      <c r="G61" s="49"/>
    </row>
    <row r="62" spans="1:7" ht="34.5">
      <c r="A62" s="51">
        <v>56</v>
      </c>
      <c r="B62" s="55" t="s">
        <v>90</v>
      </c>
      <c r="C62" s="53" t="s">
        <v>301</v>
      </c>
      <c r="D62" s="18" t="s">
        <v>302</v>
      </c>
      <c r="E62" s="18" t="s">
        <v>303</v>
      </c>
      <c r="F62" s="18" t="s">
        <v>304</v>
      </c>
      <c r="G62" s="49"/>
    </row>
    <row r="63" spans="1:7" ht="34.5">
      <c r="A63" s="51">
        <v>57</v>
      </c>
      <c r="B63" s="55" t="s">
        <v>91</v>
      </c>
      <c r="C63" s="53" t="s">
        <v>305</v>
      </c>
      <c r="D63" s="18" t="s">
        <v>306</v>
      </c>
      <c r="E63" s="18" t="s">
        <v>307</v>
      </c>
      <c r="F63" s="18" t="s">
        <v>308</v>
      </c>
      <c r="G63" s="49"/>
    </row>
    <row r="64" spans="1:7" ht="93">
      <c r="A64" s="51">
        <v>58</v>
      </c>
      <c r="B64" s="55" t="s">
        <v>92</v>
      </c>
      <c r="C64" s="53" t="s">
        <v>309</v>
      </c>
      <c r="D64" s="18" t="s">
        <v>310</v>
      </c>
      <c r="E64" s="18" t="s">
        <v>311</v>
      </c>
      <c r="F64" s="18" t="s">
        <v>312</v>
      </c>
      <c r="G64" s="49"/>
    </row>
    <row r="65" spans="1:7" ht="52.5">
      <c r="A65" s="51">
        <v>59</v>
      </c>
      <c r="B65" s="55" t="s">
        <v>93</v>
      </c>
      <c r="C65" s="53" t="s">
        <v>313</v>
      </c>
      <c r="D65" s="18" t="s">
        <v>314</v>
      </c>
      <c r="E65" s="18" t="s">
        <v>315</v>
      </c>
      <c r="F65" s="18" t="s">
        <v>316</v>
      </c>
      <c r="G65" s="49"/>
    </row>
    <row r="66" spans="1:7" ht="93">
      <c r="A66" s="51">
        <v>60</v>
      </c>
      <c r="B66" s="55" t="s">
        <v>94</v>
      </c>
      <c r="C66" s="53" t="s">
        <v>317</v>
      </c>
      <c r="D66" s="18" t="s">
        <v>318</v>
      </c>
      <c r="E66" s="18">
        <v>0</v>
      </c>
      <c r="F66" s="18">
        <v>3</v>
      </c>
      <c r="G66" s="49"/>
    </row>
    <row r="67" spans="1:7" ht="34.5">
      <c r="A67" s="51">
        <v>61</v>
      </c>
      <c r="B67" s="55" t="s">
        <v>95</v>
      </c>
      <c r="C67" s="53" t="s">
        <v>319</v>
      </c>
      <c r="D67" s="18" t="s">
        <v>320</v>
      </c>
      <c r="E67" s="18" t="s">
        <v>321</v>
      </c>
      <c r="F67" s="18" t="s">
        <v>322</v>
      </c>
      <c r="G67" s="49"/>
    </row>
    <row r="68" spans="1:7" ht="34.5">
      <c r="A68" s="51">
        <v>62</v>
      </c>
      <c r="B68" s="55" t="s">
        <v>96</v>
      </c>
      <c r="C68" s="53" t="s">
        <v>323</v>
      </c>
      <c r="D68" s="18" t="s">
        <v>324</v>
      </c>
      <c r="E68" s="18" t="s">
        <v>325</v>
      </c>
      <c r="F68" s="18" t="s">
        <v>326</v>
      </c>
      <c r="G68" s="49"/>
    </row>
    <row r="69" spans="1:7" ht="325.5">
      <c r="A69" s="51">
        <v>63</v>
      </c>
      <c r="B69" s="55" t="s">
        <v>97</v>
      </c>
      <c r="C69" s="53">
        <v>2</v>
      </c>
      <c r="D69" s="18">
        <v>0</v>
      </c>
      <c r="E69" s="18">
        <v>3</v>
      </c>
      <c r="F69" s="18">
        <v>4</v>
      </c>
      <c r="G69" s="49"/>
    </row>
    <row r="70" spans="1:7" ht="325.5">
      <c r="A70" s="51">
        <v>64</v>
      </c>
      <c r="B70" s="55" t="s">
        <v>98</v>
      </c>
      <c r="C70" s="53">
        <v>0</v>
      </c>
      <c r="D70" s="18">
        <v>5</v>
      </c>
      <c r="E70" s="18">
        <v>2</v>
      </c>
      <c r="F70" s="18">
        <v>3</v>
      </c>
      <c r="G70" s="49"/>
    </row>
    <row r="71" spans="1:7" ht="139.5">
      <c r="A71" s="51">
        <v>65</v>
      </c>
      <c r="B71" s="55" t="s">
        <v>99</v>
      </c>
      <c r="C71" s="53" t="s">
        <v>327</v>
      </c>
      <c r="D71" s="18" t="s">
        <v>328</v>
      </c>
      <c r="E71" s="18" t="s">
        <v>329</v>
      </c>
      <c r="F71" s="18" t="s">
        <v>330</v>
      </c>
      <c r="G71" s="49"/>
    </row>
    <row r="72" spans="1:7" ht="34.5">
      <c r="A72" s="51">
        <v>66</v>
      </c>
      <c r="B72" s="55" t="s">
        <v>100</v>
      </c>
      <c r="C72" s="53" t="s">
        <v>331</v>
      </c>
      <c r="D72" s="18" t="s">
        <v>332</v>
      </c>
      <c r="E72" s="18" t="s">
        <v>333</v>
      </c>
      <c r="F72" s="18" t="s">
        <v>308</v>
      </c>
      <c r="G72" s="49"/>
    </row>
    <row r="73" spans="1:7" ht="34.5">
      <c r="A73" s="51">
        <v>67</v>
      </c>
      <c r="B73" s="55" t="s">
        <v>101</v>
      </c>
      <c r="C73" s="53" t="b">
        <v>1</v>
      </c>
      <c r="D73" s="18" t="b">
        <v>0</v>
      </c>
      <c r="E73" s="18" t="s">
        <v>334</v>
      </c>
      <c r="F73" s="18" t="s">
        <v>335</v>
      </c>
      <c r="G73" s="49"/>
    </row>
    <row r="74" spans="1:7" ht="46.5">
      <c r="A74" s="51">
        <v>68</v>
      </c>
      <c r="B74" s="55" t="s">
        <v>102</v>
      </c>
      <c r="C74" s="53" t="b">
        <v>1</v>
      </c>
      <c r="D74" s="18" t="b">
        <v>0</v>
      </c>
      <c r="E74" s="18" t="s">
        <v>336</v>
      </c>
      <c r="F74" s="18" t="s">
        <v>334</v>
      </c>
      <c r="G74" s="49"/>
    </row>
    <row r="75" spans="1:7" ht="34.5">
      <c r="A75" s="51">
        <v>69</v>
      </c>
      <c r="B75" s="55" t="s">
        <v>103</v>
      </c>
      <c r="C75" s="53" t="s">
        <v>337</v>
      </c>
      <c r="D75" s="18" t="s">
        <v>338</v>
      </c>
      <c r="E75" s="18" t="s">
        <v>339</v>
      </c>
      <c r="F75" s="18" t="s">
        <v>340</v>
      </c>
      <c r="G75" s="49"/>
    </row>
    <row r="76" spans="1:7" ht="255.75">
      <c r="A76" s="51">
        <v>70</v>
      </c>
      <c r="B76" s="55" t="s">
        <v>104</v>
      </c>
      <c r="C76" s="53" t="s">
        <v>341</v>
      </c>
      <c r="D76" s="18" t="s">
        <v>342</v>
      </c>
      <c r="E76" s="18" t="s">
        <v>343</v>
      </c>
      <c r="F76" s="18" t="s">
        <v>344</v>
      </c>
      <c r="G76" s="49"/>
    </row>
    <row r="77" spans="1:7" ht="93">
      <c r="A77" s="51">
        <v>71</v>
      </c>
      <c r="B77" s="55" t="s">
        <v>105</v>
      </c>
      <c r="C77" s="53">
        <v>2</v>
      </c>
      <c r="D77" s="18">
        <v>3</v>
      </c>
      <c r="E77" s="18">
        <v>1</v>
      </c>
      <c r="F77" s="18">
        <v>0</v>
      </c>
      <c r="G77" s="49"/>
    </row>
    <row r="78" spans="1:7" ht="93">
      <c r="A78" s="51">
        <v>72</v>
      </c>
      <c r="B78" s="55" t="s">
        <v>106</v>
      </c>
      <c r="C78" s="53">
        <v>2</v>
      </c>
      <c r="D78" s="18">
        <v>3</v>
      </c>
      <c r="E78" s="18">
        <v>1</v>
      </c>
      <c r="F78" s="18">
        <v>0</v>
      </c>
      <c r="G78" s="49"/>
    </row>
    <row r="79" spans="1:7" ht="162.75">
      <c r="A79" s="51">
        <v>73</v>
      </c>
      <c r="B79" s="55" t="s">
        <v>107</v>
      </c>
      <c r="C79" s="53" t="s">
        <v>345</v>
      </c>
      <c r="D79" s="18" t="s">
        <v>346</v>
      </c>
      <c r="E79" s="18" t="s">
        <v>32</v>
      </c>
      <c r="F79" s="18" t="s">
        <v>330</v>
      </c>
      <c r="G79" s="49"/>
    </row>
    <row r="80" spans="1:7" ht="255.75">
      <c r="A80" s="51">
        <v>74</v>
      </c>
      <c r="B80" s="55" t="s">
        <v>108</v>
      </c>
      <c r="C80" s="53">
        <v>20</v>
      </c>
      <c r="D80" s="18">
        <v>21</v>
      </c>
      <c r="E80" s="18">
        <v>10</v>
      </c>
      <c r="F80" s="18">
        <v>30</v>
      </c>
      <c r="G80" s="49"/>
    </row>
    <row r="81" spans="1:7" ht="69.75">
      <c r="A81" s="51">
        <v>75</v>
      </c>
      <c r="B81" s="55" t="s">
        <v>109</v>
      </c>
      <c r="C81" s="53" t="s">
        <v>347</v>
      </c>
      <c r="D81" s="18" t="s">
        <v>348</v>
      </c>
      <c r="E81" s="18" t="s">
        <v>349</v>
      </c>
      <c r="F81" s="18" t="s">
        <v>32</v>
      </c>
      <c r="G81" s="49"/>
    </row>
    <row r="82" spans="1:7" ht="34.5">
      <c r="A82" s="51">
        <v>76</v>
      </c>
      <c r="B82" s="55" t="s">
        <v>110</v>
      </c>
      <c r="C82" s="53" t="s">
        <v>350</v>
      </c>
      <c r="D82" s="18" t="s">
        <v>351</v>
      </c>
      <c r="E82" s="18" t="s">
        <v>352</v>
      </c>
      <c r="F82" s="18" t="s">
        <v>353</v>
      </c>
      <c r="G82" s="49"/>
    </row>
    <row r="83" spans="1:7" ht="46.5">
      <c r="A83" s="51">
        <v>77</v>
      </c>
      <c r="B83" s="55" t="s">
        <v>111</v>
      </c>
      <c r="C83" s="53" t="s">
        <v>354</v>
      </c>
      <c r="D83" s="18" t="s">
        <v>355</v>
      </c>
      <c r="E83" s="18" t="s">
        <v>356</v>
      </c>
      <c r="F83" s="18" t="s">
        <v>308</v>
      </c>
      <c r="G83" s="49"/>
    </row>
    <row r="84" spans="1:7" ht="78.75">
      <c r="A84" s="51">
        <v>78</v>
      </c>
      <c r="B84" s="55" t="s">
        <v>112</v>
      </c>
      <c r="C84" s="53" t="s">
        <v>357</v>
      </c>
      <c r="D84" s="18" t="s">
        <v>358</v>
      </c>
      <c r="E84" s="18" t="s">
        <v>359</v>
      </c>
      <c r="F84" s="18" t="s">
        <v>308</v>
      </c>
      <c r="G84" s="49"/>
    </row>
    <row r="85" spans="1:7" ht="69.75">
      <c r="A85" s="51">
        <v>79</v>
      </c>
      <c r="B85" s="55" t="s">
        <v>113</v>
      </c>
      <c r="C85" s="53" t="s">
        <v>360</v>
      </c>
      <c r="D85" s="18" t="s">
        <v>361</v>
      </c>
      <c r="E85" s="18" t="s">
        <v>362</v>
      </c>
      <c r="F85" s="18" t="s">
        <v>363</v>
      </c>
      <c r="G85" s="49"/>
    </row>
    <row r="86" spans="1:7" ht="93">
      <c r="A86" s="51">
        <v>80</v>
      </c>
      <c r="B86" s="55" t="s">
        <v>114</v>
      </c>
      <c r="C86" s="53">
        <v>12</v>
      </c>
      <c r="D86" s="18" t="s">
        <v>364</v>
      </c>
      <c r="E86" s="18" t="s">
        <v>32</v>
      </c>
      <c r="F86" s="18" t="s">
        <v>308</v>
      </c>
      <c r="G86" s="49"/>
    </row>
    <row r="87" spans="1:7" ht="139.5">
      <c r="A87" s="51">
        <v>81</v>
      </c>
      <c r="B87" s="55" t="s">
        <v>115</v>
      </c>
      <c r="C87" s="53">
        <v>99</v>
      </c>
      <c r="D87" s="18">
        <v>90</v>
      </c>
      <c r="E87" s="18">
        <v>100</v>
      </c>
      <c r="F87" s="18">
        <v>101</v>
      </c>
      <c r="G87" s="49"/>
    </row>
    <row r="88" spans="1:7" ht="69.75">
      <c r="A88" s="51">
        <v>82</v>
      </c>
      <c r="B88" s="55" t="s">
        <v>116</v>
      </c>
      <c r="C88" s="53" t="s">
        <v>365</v>
      </c>
      <c r="D88" s="18" t="s">
        <v>366</v>
      </c>
      <c r="E88" s="18" t="s">
        <v>367</v>
      </c>
      <c r="F88" s="18" t="s">
        <v>330</v>
      </c>
      <c r="G88" s="49"/>
    </row>
    <row r="89" spans="1:7" ht="116.25">
      <c r="A89" s="51">
        <v>83</v>
      </c>
      <c r="B89" s="55" t="s">
        <v>117</v>
      </c>
      <c r="C89" s="53">
        <v>101</v>
      </c>
      <c r="D89" s="18">
        <v>99</v>
      </c>
      <c r="E89" s="18" t="s">
        <v>368</v>
      </c>
      <c r="F89" s="18">
        <v>100</v>
      </c>
      <c r="G89" s="49"/>
    </row>
    <row r="90" spans="1:7" ht="139.5">
      <c r="A90" s="51">
        <v>84</v>
      </c>
      <c r="B90" s="55" t="s">
        <v>118</v>
      </c>
      <c r="C90" s="53" t="s">
        <v>369</v>
      </c>
      <c r="D90" s="18" t="s">
        <v>370</v>
      </c>
      <c r="E90" s="18" t="s">
        <v>371</v>
      </c>
      <c r="F90" s="18" t="s">
        <v>372</v>
      </c>
      <c r="G90" s="49"/>
    </row>
    <row r="91" spans="1:7" ht="162.75">
      <c r="A91" s="51">
        <v>85</v>
      </c>
      <c r="B91" s="55" t="s">
        <v>119</v>
      </c>
      <c r="C91" s="53" t="s">
        <v>345</v>
      </c>
      <c r="D91" s="18" t="s">
        <v>346</v>
      </c>
      <c r="E91" s="18" t="s">
        <v>32</v>
      </c>
      <c r="F91" s="18" t="s">
        <v>330</v>
      </c>
      <c r="G91" s="49"/>
    </row>
    <row r="92" spans="1:7" ht="162.75">
      <c r="A92" s="51">
        <v>86</v>
      </c>
      <c r="B92" s="55" t="s">
        <v>120</v>
      </c>
      <c r="C92" s="53">
        <v>1</v>
      </c>
      <c r="D92" s="18" t="s">
        <v>345</v>
      </c>
      <c r="E92" s="18" t="s">
        <v>373</v>
      </c>
      <c r="F92" s="18" t="s">
        <v>374</v>
      </c>
      <c r="G92" s="49"/>
    </row>
    <row r="93" spans="1:7" ht="162.75">
      <c r="A93" s="51">
        <v>87</v>
      </c>
      <c r="B93" s="55" t="s">
        <v>121</v>
      </c>
      <c r="C93" s="53" t="s">
        <v>375</v>
      </c>
      <c r="D93" s="18" t="s">
        <v>376</v>
      </c>
      <c r="E93" s="18" t="s">
        <v>377</v>
      </c>
      <c r="F93" s="18" t="s">
        <v>32</v>
      </c>
      <c r="G93" s="49"/>
    </row>
    <row r="94" spans="1:7" ht="162.75">
      <c r="A94" s="51">
        <v>88</v>
      </c>
      <c r="B94" s="55" t="s">
        <v>122</v>
      </c>
      <c r="C94" s="53">
        <v>1</v>
      </c>
      <c r="D94" s="18" t="s">
        <v>378</v>
      </c>
      <c r="E94" s="18" t="s">
        <v>379</v>
      </c>
      <c r="F94" s="18" t="s">
        <v>330</v>
      </c>
      <c r="G94" s="49"/>
    </row>
    <row r="95" spans="1:7" ht="116.25">
      <c r="A95" s="51">
        <v>89</v>
      </c>
      <c r="B95" s="55" t="s">
        <v>123</v>
      </c>
      <c r="C95" s="53" t="b">
        <v>1</v>
      </c>
      <c r="D95" s="18" t="b">
        <v>0</v>
      </c>
      <c r="E95" s="18" t="s">
        <v>34</v>
      </c>
      <c r="F95" s="18" t="s">
        <v>32</v>
      </c>
      <c r="G95" s="49"/>
    </row>
    <row r="96" spans="1:7" ht="93">
      <c r="A96" s="51">
        <v>90</v>
      </c>
      <c r="B96" s="55" t="s">
        <v>124</v>
      </c>
      <c r="C96" s="53">
        <v>0</v>
      </c>
      <c r="D96" s="18" t="s">
        <v>248</v>
      </c>
      <c r="E96" s="18" t="s">
        <v>32</v>
      </c>
      <c r="F96" s="18" t="s">
        <v>290</v>
      </c>
      <c r="G96" s="49"/>
    </row>
    <row r="97" spans="1:7" ht="93">
      <c r="A97" s="51">
        <v>91</v>
      </c>
      <c r="B97" s="55" t="s">
        <v>125</v>
      </c>
      <c r="C97" s="53" t="s">
        <v>380</v>
      </c>
      <c r="D97" s="18" t="s">
        <v>381</v>
      </c>
      <c r="E97" s="18" t="s">
        <v>32</v>
      </c>
      <c r="F97" s="18" t="s">
        <v>290</v>
      </c>
      <c r="G97" s="49"/>
    </row>
    <row r="98" spans="1:7" ht="93">
      <c r="A98" s="51">
        <v>92</v>
      </c>
      <c r="B98" s="55" t="s">
        <v>126</v>
      </c>
      <c r="C98" s="53" t="s">
        <v>380</v>
      </c>
      <c r="D98" s="18" t="s">
        <v>381</v>
      </c>
      <c r="E98" s="18" t="s">
        <v>32</v>
      </c>
      <c r="F98" s="18" t="s">
        <v>290</v>
      </c>
      <c r="G98" s="49"/>
    </row>
    <row r="99" spans="1:7" ht="69.75">
      <c r="A99" s="51">
        <v>93</v>
      </c>
      <c r="B99" s="55" t="s">
        <v>127</v>
      </c>
      <c r="C99" s="53" t="s">
        <v>382</v>
      </c>
      <c r="D99" s="18" t="s">
        <v>383</v>
      </c>
      <c r="E99" s="18" t="s">
        <v>384</v>
      </c>
      <c r="F99" s="18" t="s">
        <v>290</v>
      </c>
      <c r="G99" s="49"/>
    </row>
    <row r="100" spans="1:7" ht="186">
      <c r="A100" s="51">
        <v>94</v>
      </c>
      <c r="B100" s="55" t="s">
        <v>128</v>
      </c>
      <c r="C100" s="53" t="s">
        <v>385</v>
      </c>
      <c r="D100" s="18" t="s">
        <v>386</v>
      </c>
      <c r="E100" s="18" t="s">
        <v>387</v>
      </c>
      <c r="F100" s="18" t="s">
        <v>388</v>
      </c>
      <c r="G100" s="49"/>
    </row>
    <row r="101" spans="1:7" ht="186">
      <c r="A101" s="51">
        <v>95</v>
      </c>
      <c r="B101" s="55" t="s">
        <v>129</v>
      </c>
      <c r="C101" s="53" t="s">
        <v>385</v>
      </c>
      <c r="D101" s="18" t="s">
        <v>386</v>
      </c>
      <c r="E101" s="18" t="s">
        <v>387</v>
      </c>
      <c r="F101" s="18" t="s">
        <v>388</v>
      </c>
      <c r="G101" s="49"/>
    </row>
    <row r="102" spans="1:7" ht="139.5">
      <c r="A102" s="51">
        <v>96</v>
      </c>
      <c r="B102" s="55" t="s">
        <v>130</v>
      </c>
      <c r="C102" s="53" t="s">
        <v>387</v>
      </c>
      <c r="D102" s="18" t="s">
        <v>389</v>
      </c>
      <c r="E102" s="18">
        <v>0</v>
      </c>
      <c r="F102" s="18" t="s">
        <v>32</v>
      </c>
      <c r="G102" s="49"/>
    </row>
    <row r="103" spans="1:7" ht="131.25">
      <c r="A103" s="51">
        <v>97</v>
      </c>
      <c r="B103" s="55" t="s">
        <v>131</v>
      </c>
      <c r="C103" s="53" t="s">
        <v>390</v>
      </c>
      <c r="D103" s="18" t="s">
        <v>391</v>
      </c>
      <c r="E103" s="18" t="s">
        <v>392</v>
      </c>
      <c r="F103" s="18" t="s">
        <v>393</v>
      </c>
      <c r="G103" s="49"/>
    </row>
    <row r="104" spans="1:7" ht="232.5">
      <c r="A104" s="51">
        <v>98</v>
      </c>
      <c r="B104" s="55" t="s">
        <v>132</v>
      </c>
      <c r="C104" s="53" t="s">
        <v>394</v>
      </c>
      <c r="D104" s="18" t="s">
        <v>395</v>
      </c>
      <c r="E104" s="18" t="s">
        <v>32</v>
      </c>
      <c r="F104" s="18" t="s">
        <v>330</v>
      </c>
      <c r="G104" s="49"/>
    </row>
    <row r="105" spans="1:7" ht="186">
      <c r="A105" s="51">
        <v>99</v>
      </c>
      <c r="B105" s="55" t="s">
        <v>133</v>
      </c>
      <c r="C105" s="53" t="s">
        <v>394</v>
      </c>
      <c r="D105" s="18" t="s">
        <v>396</v>
      </c>
      <c r="E105" s="18" t="s">
        <v>395</v>
      </c>
      <c r="F105" s="18" t="s">
        <v>32</v>
      </c>
      <c r="G105" s="49"/>
    </row>
    <row r="106" spans="1:7" ht="139.5">
      <c r="A106" s="51">
        <v>100</v>
      </c>
      <c r="B106" s="55" t="s">
        <v>134</v>
      </c>
      <c r="C106" s="53" t="s">
        <v>397</v>
      </c>
      <c r="D106" s="18" t="s">
        <v>398</v>
      </c>
      <c r="E106" s="18">
        <v>0</v>
      </c>
      <c r="F106" s="18" t="s">
        <v>33</v>
      </c>
      <c r="G106" s="49"/>
    </row>
    <row r="107" spans="1:7" ht="34.5">
      <c r="A107" s="51">
        <v>101</v>
      </c>
      <c r="B107" s="55" t="s">
        <v>135</v>
      </c>
      <c r="C107" s="53" t="s">
        <v>332</v>
      </c>
      <c r="D107" s="18" t="s">
        <v>331</v>
      </c>
      <c r="E107" s="18" t="s">
        <v>399</v>
      </c>
      <c r="F107" s="18" t="s">
        <v>400</v>
      </c>
      <c r="G107" s="49"/>
    </row>
    <row r="108" spans="1:7" ht="162.75">
      <c r="A108" s="51">
        <v>102</v>
      </c>
      <c r="B108" s="55" t="s">
        <v>136</v>
      </c>
      <c r="C108" s="53" t="s">
        <v>401</v>
      </c>
      <c r="D108" s="18" t="s">
        <v>402</v>
      </c>
      <c r="E108" s="18" t="s">
        <v>403</v>
      </c>
      <c r="F108" s="18" t="s">
        <v>404</v>
      </c>
      <c r="G108" s="49"/>
    </row>
    <row r="109" spans="1:7" ht="116.25">
      <c r="A109" s="51">
        <v>103</v>
      </c>
      <c r="B109" s="55" t="s">
        <v>137</v>
      </c>
      <c r="C109" s="53" t="s">
        <v>405</v>
      </c>
      <c r="D109" s="18" t="s">
        <v>406</v>
      </c>
      <c r="E109" s="18" t="s">
        <v>407</v>
      </c>
      <c r="F109" s="18" t="s">
        <v>404</v>
      </c>
      <c r="G109" s="49"/>
    </row>
    <row r="110" spans="1:7" ht="162.75">
      <c r="A110" s="51">
        <v>104</v>
      </c>
      <c r="B110" s="55" t="s">
        <v>138</v>
      </c>
      <c r="C110" s="53" t="s">
        <v>405</v>
      </c>
      <c r="D110" s="18">
        <v>0</v>
      </c>
      <c r="E110" s="18" t="s">
        <v>407</v>
      </c>
      <c r="F110" s="18" t="s">
        <v>404</v>
      </c>
      <c r="G110" s="49"/>
    </row>
    <row r="111" spans="1:7" ht="186">
      <c r="A111" s="51">
        <v>105</v>
      </c>
      <c r="B111" s="55" t="s">
        <v>139</v>
      </c>
      <c r="C111" s="53">
        <v>3</v>
      </c>
      <c r="D111" s="18" t="s">
        <v>408</v>
      </c>
      <c r="E111" s="18" t="s">
        <v>407</v>
      </c>
      <c r="F111" s="18" t="s">
        <v>404</v>
      </c>
      <c r="G111" s="49"/>
    </row>
    <row r="112" spans="1:7" ht="93">
      <c r="A112" s="51">
        <v>106</v>
      </c>
      <c r="B112" s="55" t="s">
        <v>140</v>
      </c>
      <c r="C112" s="53" t="s">
        <v>409</v>
      </c>
      <c r="D112" s="18">
        <v>123</v>
      </c>
      <c r="E112" s="18" t="s">
        <v>410</v>
      </c>
      <c r="F112" s="18" t="s">
        <v>411</v>
      </c>
      <c r="G112" s="49"/>
    </row>
    <row r="113" spans="1:7" ht="116.25">
      <c r="A113" s="51">
        <v>107</v>
      </c>
      <c r="B113" s="55" t="s">
        <v>141</v>
      </c>
      <c r="C113" s="53">
        <v>25</v>
      </c>
      <c r="D113" s="18">
        <v>20</v>
      </c>
      <c r="E113" s="18">
        <v>30</v>
      </c>
      <c r="F113" s="18">
        <v>23</v>
      </c>
      <c r="G113" s="49"/>
    </row>
    <row r="114" spans="1:7" ht="302.25">
      <c r="A114" s="51">
        <v>108</v>
      </c>
      <c r="B114" s="55" t="s">
        <v>142</v>
      </c>
      <c r="C114" s="53">
        <v>1</v>
      </c>
      <c r="D114" s="18">
        <v>2</v>
      </c>
      <c r="E114" s="18">
        <v>3</v>
      </c>
      <c r="F114" s="18">
        <v>4</v>
      </c>
      <c r="G114" s="49"/>
    </row>
    <row r="115" spans="1:7" ht="255.75">
      <c r="A115" s="51">
        <v>109</v>
      </c>
      <c r="B115" s="55" t="s">
        <v>143</v>
      </c>
      <c r="C115" s="53">
        <v>19</v>
      </c>
      <c r="D115" s="18">
        <v>20</v>
      </c>
      <c r="E115" s="18">
        <v>21</v>
      </c>
      <c r="F115" s="18">
        <v>14</v>
      </c>
      <c r="G115" s="49"/>
    </row>
    <row r="116" spans="1:7" ht="279">
      <c r="A116" s="51">
        <v>110</v>
      </c>
      <c r="B116" s="55" t="s">
        <v>144</v>
      </c>
      <c r="C116" s="53" t="s">
        <v>412</v>
      </c>
      <c r="D116" s="18" t="s">
        <v>413</v>
      </c>
      <c r="E116" s="18" t="s">
        <v>414</v>
      </c>
      <c r="F116" s="18" t="s">
        <v>415</v>
      </c>
      <c r="G116" s="49"/>
    </row>
    <row r="117" spans="1:7" ht="279">
      <c r="A117" s="51">
        <v>111</v>
      </c>
      <c r="B117" s="55" t="s">
        <v>145</v>
      </c>
      <c r="C117" s="53" t="s">
        <v>416</v>
      </c>
      <c r="D117" s="18" t="s">
        <v>417</v>
      </c>
      <c r="E117" s="18" t="s">
        <v>418</v>
      </c>
      <c r="F117" s="18" t="s">
        <v>419</v>
      </c>
      <c r="G117" s="49"/>
    </row>
    <row r="118" spans="1:7" ht="232.5">
      <c r="A118" s="51">
        <v>112</v>
      </c>
      <c r="B118" s="55" t="s">
        <v>146</v>
      </c>
      <c r="C118" s="53">
        <v>4</v>
      </c>
      <c r="D118" s="18">
        <v>3</v>
      </c>
      <c r="E118" s="18">
        <v>2</v>
      </c>
      <c r="F118" s="18">
        <v>0</v>
      </c>
      <c r="G118" s="49"/>
    </row>
    <row r="119" spans="1:7" ht="186">
      <c r="A119" s="51">
        <v>113</v>
      </c>
      <c r="B119" s="55" t="s">
        <v>147</v>
      </c>
      <c r="C119" s="53" t="s">
        <v>420</v>
      </c>
      <c r="D119" s="18" t="s">
        <v>421</v>
      </c>
      <c r="E119" s="18" t="s">
        <v>422</v>
      </c>
      <c r="F119" s="18" t="s">
        <v>423</v>
      </c>
      <c r="G119" s="49"/>
    </row>
    <row r="120" spans="1:7" ht="302.25">
      <c r="A120" s="51">
        <v>114</v>
      </c>
      <c r="B120" s="55" t="s">
        <v>148</v>
      </c>
      <c r="C120" s="53" t="s">
        <v>424</v>
      </c>
      <c r="D120" s="18" t="s">
        <v>425</v>
      </c>
      <c r="E120" s="18" t="s">
        <v>426</v>
      </c>
      <c r="F120" s="18" t="s">
        <v>427</v>
      </c>
      <c r="G120" s="49"/>
    </row>
    <row r="121" spans="1:7" ht="139.5">
      <c r="A121" s="51">
        <v>115</v>
      </c>
      <c r="B121" s="55" t="s">
        <v>149</v>
      </c>
      <c r="C121" s="53" t="s">
        <v>428</v>
      </c>
      <c r="D121" s="18" t="s">
        <v>429</v>
      </c>
      <c r="E121" s="18" t="s">
        <v>430</v>
      </c>
      <c r="F121" s="18" t="s">
        <v>431</v>
      </c>
      <c r="G121" s="49"/>
    </row>
    <row r="122" spans="1:7" ht="116.25">
      <c r="A122" s="51">
        <v>116</v>
      </c>
      <c r="B122" s="55" t="s">
        <v>150</v>
      </c>
      <c r="C122" s="53" t="s">
        <v>309</v>
      </c>
      <c r="D122" s="18" t="s">
        <v>310</v>
      </c>
      <c r="E122" s="18" t="s">
        <v>432</v>
      </c>
      <c r="F122" s="18" t="s">
        <v>433</v>
      </c>
      <c r="G122" s="49"/>
    </row>
    <row r="123" spans="1:7" ht="139.5">
      <c r="A123" s="51">
        <v>117</v>
      </c>
      <c r="B123" s="55" t="s">
        <v>151</v>
      </c>
      <c r="C123" s="53" t="s">
        <v>434</v>
      </c>
      <c r="D123" s="18" t="s">
        <v>435</v>
      </c>
      <c r="E123" s="18" t="s">
        <v>436</v>
      </c>
      <c r="F123" s="18" t="s">
        <v>437</v>
      </c>
      <c r="G123" s="49"/>
    </row>
    <row r="124" spans="1:7" ht="255.75">
      <c r="A124" s="51">
        <v>118</v>
      </c>
      <c r="B124" s="55" t="s">
        <v>152</v>
      </c>
      <c r="C124" s="53">
        <v>20</v>
      </c>
      <c r="D124" s="18">
        <v>21</v>
      </c>
      <c r="E124" s="18">
        <v>30</v>
      </c>
      <c r="F124" s="18">
        <v>31</v>
      </c>
      <c r="G124" s="49"/>
    </row>
    <row r="125" spans="1:7" ht="302.25">
      <c r="A125" s="51">
        <v>119</v>
      </c>
      <c r="B125" s="55" t="s">
        <v>153</v>
      </c>
      <c r="C125" s="53" t="s">
        <v>438</v>
      </c>
      <c r="D125" s="18" t="s">
        <v>439</v>
      </c>
      <c r="E125" s="18" t="s">
        <v>440</v>
      </c>
      <c r="F125" s="18" t="s">
        <v>441</v>
      </c>
      <c r="G125" s="49"/>
    </row>
    <row r="126" spans="1:7" ht="139.5">
      <c r="A126" s="51">
        <v>120</v>
      </c>
      <c r="B126" s="55" t="s">
        <v>154</v>
      </c>
      <c r="C126" s="53">
        <v>81</v>
      </c>
      <c r="D126" s="18">
        <v>90</v>
      </c>
      <c r="E126" s="18">
        <v>80</v>
      </c>
      <c r="F126" s="18">
        <v>99</v>
      </c>
      <c r="G126" s="49"/>
    </row>
    <row r="127" spans="1:7" ht="116.25">
      <c r="A127" s="51">
        <v>121</v>
      </c>
      <c r="B127" s="55" t="s">
        <v>155</v>
      </c>
      <c r="C127" s="53">
        <v>98</v>
      </c>
      <c r="D127" s="18">
        <v>99</v>
      </c>
      <c r="E127" s="18">
        <v>100</v>
      </c>
      <c r="F127" s="18">
        <v>102</v>
      </c>
      <c r="G127" s="49"/>
    </row>
    <row r="128" spans="1:7" ht="186">
      <c r="A128" s="51">
        <v>122</v>
      </c>
      <c r="B128" s="55" t="s">
        <v>156</v>
      </c>
      <c r="C128" s="53" t="s">
        <v>442</v>
      </c>
      <c r="D128" s="18" t="s">
        <v>443</v>
      </c>
      <c r="E128" s="18" t="s">
        <v>444</v>
      </c>
      <c r="F128" s="18" t="s">
        <v>445</v>
      </c>
      <c r="G128" s="49"/>
    </row>
    <row r="129" spans="1:7" ht="186">
      <c r="A129" s="51">
        <v>123</v>
      </c>
      <c r="B129" s="55" t="s">
        <v>157</v>
      </c>
      <c r="C129" s="53">
        <v>28</v>
      </c>
      <c r="D129" s="18">
        <v>30</v>
      </c>
      <c r="E129" s="18">
        <v>21</v>
      </c>
      <c r="F129" s="18">
        <v>35</v>
      </c>
      <c r="G129" s="49"/>
    </row>
    <row r="130" spans="1:7" ht="93">
      <c r="A130" s="51">
        <v>124</v>
      </c>
      <c r="B130" s="55" t="s">
        <v>158</v>
      </c>
      <c r="C130" s="53" t="s">
        <v>446</v>
      </c>
      <c r="D130" s="18" t="s">
        <v>447</v>
      </c>
      <c r="E130" s="18" t="s">
        <v>448</v>
      </c>
      <c r="F130" s="18" t="s">
        <v>449</v>
      </c>
      <c r="G130" s="49"/>
    </row>
    <row r="131" spans="1:7" ht="34.5">
      <c r="A131" s="51">
        <v>125</v>
      </c>
      <c r="B131" s="55" t="s">
        <v>159</v>
      </c>
      <c r="C131" s="53" t="s">
        <v>448</v>
      </c>
      <c r="D131" s="18" t="s">
        <v>450</v>
      </c>
      <c r="E131" s="18" t="s">
        <v>451</v>
      </c>
      <c r="F131" s="18" t="s">
        <v>452</v>
      </c>
      <c r="G131" s="49"/>
    </row>
    <row r="132" spans="1:7" ht="162.75">
      <c r="A132" s="51">
        <v>126</v>
      </c>
      <c r="B132" s="55" t="s">
        <v>160</v>
      </c>
      <c r="C132" s="53">
        <v>77</v>
      </c>
      <c r="D132" s="18">
        <v>11</v>
      </c>
      <c r="E132" s="18">
        <v>154</v>
      </c>
      <c r="F132" s="18">
        <v>11858</v>
      </c>
      <c r="G132" s="49"/>
    </row>
    <row r="133" spans="1:7" ht="325.5">
      <c r="A133" s="51">
        <v>127</v>
      </c>
      <c r="B133" s="55" t="s">
        <v>161</v>
      </c>
      <c r="C133" s="53" t="s">
        <v>453</v>
      </c>
      <c r="D133" s="18">
        <v>10</v>
      </c>
      <c r="E133" s="18">
        <v>100</v>
      </c>
      <c r="F133" s="18">
        <v>20</v>
      </c>
      <c r="G133" s="49"/>
    </row>
    <row r="134" spans="1:7" ht="209.25">
      <c r="A134" s="51">
        <v>128</v>
      </c>
      <c r="B134" s="55" t="s">
        <v>162</v>
      </c>
      <c r="C134" s="53" t="s">
        <v>454</v>
      </c>
      <c r="D134" s="18" t="s">
        <v>455</v>
      </c>
      <c r="E134" s="18" t="s">
        <v>456</v>
      </c>
      <c r="F134" s="18" t="s">
        <v>457</v>
      </c>
      <c r="G134" s="49"/>
    </row>
    <row r="135" spans="1:7" ht="116.25">
      <c r="A135" s="51">
        <v>129</v>
      </c>
      <c r="B135" s="55" t="s">
        <v>163</v>
      </c>
      <c r="C135" s="53" t="s">
        <v>459</v>
      </c>
      <c r="D135" s="18" t="s">
        <v>460</v>
      </c>
      <c r="E135" s="18" t="s">
        <v>461</v>
      </c>
      <c r="F135" s="18" t="s">
        <v>196</v>
      </c>
      <c r="G135" s="49"/>
    </row>
    <row r="136" spans="1:7" ht="139.5">
      <c r="A136" s="51">
        <v>130</v>
      </c>
      <c r="B136" s="55" t="s">
        <v>164</v>
      </c>
      <c r="C136" s="53" t="s">
        <v>462</v>
      </c>
      <c r="D136" s="18" t="s">
        <v>463</v>
      </c>
      <c r="E136" s="18" t="s">
        <v>464</v>
      </c>
      <c r="F136" s="18" t="s">
        <v>32</v>
      </c>
      <c r="G136" s="49"/>
    </row>
    <row r="137" spans="1:7" ht="209.25">
      <c r="A137" s="51">
        <v>131</v>
      </c>
      <c r="B137" s="55" t="s">
        <v>165</v>
      </c>
      <c r="C137" s="53">
        <v>2</v>
      </c>
      <c r="D137" s="18">
        <v>3</v>
      </c>
      <c r="E137" s="18" t="s">
        <v>465</v>
      </c>
      <c r="F137" s="18" t="s">
        <v>196</v>
      </c>
      <c r="G137" s="49"/>
    </row>
    <row r="138" spans="1:7" ht="186">
      <c r="A138" s="51">
        <v>132</v>
      </c>
      <c r="B138" s="55" t="s">
        <v>166</v>
      </c>
      <c r="C138" s="53" t="s">
        <v>459</v>
      </c>
      <c r="D138" s="18" t="s">
        <v>466</v>
      </c>
      <c r="E138" s="18" t="s">
        <v>461</v>
      </c>
      <c r="F138" s="18" t="s">
        <v>196</v>
      </c>
      <c r="G138" s="49"/>
    </row>
    <row r="139" spans="1:7" ht="209.25">
      <c r="A139" s="51">
        <v>133</v>
      </c>
      <c r="B139" s="55" t="s">
        <v>167</v>
      </c>
      <c r="C139" s="53" t="s">
        <v>467</v>
      </c>
      <c r="D139" s="18" t="s">
        <v>468</v>
      </c>
      <c r="E139" s="18" t="s">
        <v>469</v>
      </c>
      <c r="F139" s="18" t="s">
        <v>196</v>
      </c>
      <c r="G139" s="49"/>
    </row>
    <row r="140" spans="1:7" ht="116.25">
      <c r="A140" s="51">
        <v>134</v>
      </c>
      <c r="B140" s="55" t="s">
        <v>168</v>
      </c>
      <c r="C140" s="53">
        <v>15</v>
      </c>
      <c r="D140" s="18">
        <v>8</v>
      </c>
      <c r="E140" s="18" t="s">
        <v>470</v>
      </c>
      <c r="F140" s="18" t="s">
        <v>227</v>
      </c>
      <c r="G140" s="49"/>
    </row>
    <row r="141" spans="1:7" ht="139.5">
      <c r="A141" s="51">
        <v>135</v>
      </c>
      <c r="B141" s="55" t="s">
        <v>169</v>
      </c>
      <c r="C141" s="53" t="s">
        <v>364</v>
      </c>
      <c r="D141" s="18" t="s">
        <v>471</v>
      </c>
      <c r="E141" s="18" t="s">
        <v>472</v>
      </c>
      <c r="F141" s="18" t="s">
        <v>473</v>
      </c>
      <c r="G141" s="49"/>
    </row>
    <row r="142" spans="1:7" ht="116.25">
      <c r="A142" s="51">
        <v>136</v>
      </c>
      <c r="B142" s="55" t="s">
        <v>170</v>
      </c>
      <c r="C142" s="53">
        <v>9</v>
      </c>
      <c r="D142" s="18">
        <v>3</v>
      </c>
      <c r="E142" s="18">
        <v>27</v>
      </c>
      <c r="F142" s="18">
        <v>30</v>
      </c>
      <c r="G142" s="49"/>
    </row>
    <row r="143" spans="1:7" ht="157.5">
      <c r="A143" s="51">
        <v>137</v>
      </c>
      <c r="B143" s="55" t="s">
        <v>171</v>
      </c>
      <c r="C143" s="53" t="s">
        <v>474</v>
      </c>
      <c r="D143" s="18" t="s">
        <v>475</v>
      </c>
      <c r="E143" s="18" t="s">
        <v>476</v>
      </c>
      <c r="F143" s="18" t="s">
        <v>196</v>
      </c>
      <c r="G143" s="49"/>
    </row>
    <row r="144" spans="1:7" ht="162.75">
      <c r="A144" s="51">
        <v>138</v>
      </c>
      <c r="B144" s="55" t="s">
        <v>172</v>
      </c>
      <c r="C144" s="53">
        <v>10</v>
      </c>
      <c r="D144" s="18">
        <v>15</v>
      </c>
      <c r="E144" s="18" t="s">
        <v>477</v>
      </c>
      <c r="F144" s="18" t="s">
        <v>478</v>
      </c>
      <c r="G144" s="49"/>
    </row>
    <row r="145" spans="1:7" ht="209.25">
      <c r="A145" s="51">
        <v>139</v>
      </c>
      <c r="B145" s="55" t="s">
        <v>173</v>
      </c>
      <c r="C145" s="53">
        <v>3</v>
      </c>
      <c r="D145" s="18">
        <v>4</v>
      </c>
      <c r="E145" s="18" t="s">
        <v>479</v>
      </c>
      <c r="F145" s="18" t="s">
        <v>196</v>
      </c>
      <c r="G145" s="49"/>
    </row>
    <row r="146" spans="1:7" ht="162.75">
      <c r="A146" s="51">
        <v>140</v>
      </c>
      <c r="B146" s="55" t="s">
        <v>174</v>
      </c>
      <c r="C146" s="53">
        <v>1</v>
      </c>
      <c r="D146" s="18" t="s">
        <v>480</v>
      </c>
      <c r="E146" s="18">
        <v>0</v>
      </c>
      <c r="F146" s="18" t="s">
        <v>481</v>
      </c>
      <c r="G146" s="49"/>
    </row>
    <row r="147" spans="1:7" ht="116.25">
      <c r="A147" s="51">
        <v>141</v>
      </c>
      <c r="B147" s="55" t="s">
        <v>175</v>
      </c>
      <c r="C147" s="53">
        <v>25</v>
      </c>
      <c r="D147" s="18">
        <v>5</v>
      </c>
      <c r="E147" s="18">
        <v>30</v>
      </c>
      <c r="F147" s="18" t="s">
        <v>408</v>
      </c>
      <c r="G147" s="49"/>
    </row>
    <row r="148" spans="1:7" ht="348.75">
      <c r="A148" s="51">
        <v>142</v>
      </c>
      <c r="B148" s="55" t="s">
        <v>176</v>
      </c>
      <c r="C148" s="53" t="s">
        <v>482</v>
      </c>
      <c r="D148" s="18" t="s">
        <v>483</v>
      </c>
      <c r="E148" s="18" t="s">
        <v>484</v>
      </c>
      <c r="F148" s="18" t="s">
        <v>485</v>
      </c>
      <c r="G148" s="49"/>
    </row>
    <row r="149" spans="1:7" ht="232.5">
      <c r="A149" s="51">
        <v>143</v>
      </c>
      <c r="B149" s="55" t="s">
        <v>177</v>
      </c>
      <c r="C149" s="53" t="s">
        <v>486</v>
      </c>
      <c r="D149" s="18" t="s">
        <v>487</v>
      </c>
      <c r="E149" s="18" t="s">
        <v>488</v>
      </c>
      <c r="F149" s="18" t="s">
        <v>489</v>
      </c>
      <c r="G149" s="49"/>
    </row>
    <row r="150" spans="1:7" ht="46.5">
      <c r="A150" s="51">
        <v>144</v>
      </c>
      <c r="B150" s="55" t="s">
        <v>178</v>
      </c>
      <c r="C150" s="53" t="s">
        <v>408</v>
      </c>
      <c r="D150" s="18" t="s">
        <v>490</v>
      </c>
      <c r="E150" s="18" t="s">
        <v>491</v>
      </c>
      <c r="F150" s="18" t="s">
        <v>208</v>
      </c>
      <c r="G150" s="49"/>
    </row>
    <row r="151" spans="1:7" ht="186">
      <c r="A151" s="51">
        <v>145</v>
      </c>
      <c r="B151" s="55" t="s">
        <v>179</v>
      </c>
      <c r="C151" s="53" t="s">
        <v>471</v>
      </c>
      <c r="D151" s="18" t="s">
        <v>492</v>
      </c>
      <c r="E151" s="18" t="s">
        <v>493</v>
      </c>
      <c r="F151" s="18" t="s">
        <v>494</v>
      </c>
      <c r="G151" s="49"/>
    </row>
    <row r="152" spans="1:7" ht="93">
      <c r="A152" s="51">
        <v>146</v>
      </c>
      <c r="B152" s="55" t="s">
        <v>180</v>
      </c>
      <c r="C152" s="53" t="s">
        <v>495</v>
      </c>
      <c r="D152" s="18" t="s">
        <v>496</v>
      </c>
      <c r="E152" s="18" t="s">
        <v>497</v>
      </c>
      <c r="F152" s="18" t="s">
        <v>498</v>
      </c>
      <c r="G152" s="49"/>
    </row>
    <row r="153" spans="1:7" ht="186">
      <c r="A153" s="51">
        <v>147</v>
      </c>
      <c r="B153" s="55" t="s">
        <v>181</v>
      </c>
      <c r="C153" s="53">
        <v>12</v>
      </c>
      <c r="D153" s="18">
        <v>10</v>
      </c>
      <c r="E153" s="18">
        <v>18</v>
      </c>
      <c r="F153" s="18">
        <v>25</v>
      </c>
      <c r="G153" s="49"/>
    </row>
    <row r="154" spans="1:7" ht="93">
      <c r="A154" s="51">
        <v>148</v>
      </c>
      <c r="B154" s="55" t="s">
        <v>182</v>
      </c>
      <c r="C154" s="53" t="s">
        <v>499</v>
      </c>
      <c r="D154" s="18" t="s">
        <v>500</v>
      </c>
      <c r="E154" s="18" t="s">
        <v>501</v>
      </c>
      <c r="F154" s="18" t="s">
        <v>32</v>
      </c>
      <c r="G154" s="49"/>
    </row>
    <row r="155" spans="1:7" ht="279">
      <c r="A155" s="51">
        <v>149</v>
      </c>
      <c r="B155" s="55" t="s">
        <v>183</v>
      </c>
      <c r="C155" s="53" t="s">
        <v>502</v>
      </c>
      <c r="D155" s="18" t="s">
        <v>503</v>
      </c>
      <c r="E155" s="18" t="s">
        <v>504</v>
      </c>
      <c r="F155" s="18" t="s">
        <v>505</v>
      </c>
      <c r="G155" s="49"/>
    </row>
    <row r="156" spans="1:7" ht="232.5">
      <c r="A156" s="51">
        <v>150</v>
      </c>
      <c r="B156" s="55" t="s">
        <v>184</v>
      </c>
      <c r="C156" s="53" t="s">
        <v>506</v>
      </c>
      <c r="D156" s="18" t="s">
        <v>458</v>
      </c>
      <c r="E156" s="18" t="s">
        <v>507</v>
      </c>
      <c r="F156" s="18">
        <v>5</v>
      </c>
      <c r="G156" s="49"/>
    </row>
  </sheetData>
  <sheetProtection selectLockedCells="1"/>
  <mergeCells count="2">
    <mergeCell ref="A3:G4"/>
    <mergeCell ref="A5:G5"/>
  </mergeCells>
  <dataValidations count="1">
    <dataValidation type="list" allowBlank="1" showInputMessage="1" showErrorMessage="1" sqref="G7:G156" xr:uid="{F28BC24D-AA9A-44E1-BC0F-B6F51173B5E4}">
      <formula1>"A, B, C, D,a,b,c,d"</formula1>
    </dataValidation>
  </dataValidations>
  <hyperlinks>
    <hyperlink ref="A1" r:id="rId1" xr:uid="{00000000-0004-0000-0000-000000000000}"/>
  </hyperlinks>
  <printOptions horizontalCentered="1" verticalCentered="1"/>
  <pageMargins left="0.19685039370078741" right="0.19685039370078741" top="0.55118110236220474" bottom="0.62992125984251968" header="0.31496062992125984" footer="0.31496062992125984"/>
  <pageSetup paperSize="9" scale="99" orientation="portrait" r:id="rId2"/>
  <headerFooter>
    <oddFooter>Page &amp;P of &amp;N</oddFooter>
  </headerFooter>
  <rowBreaks count="1" manualBreakCount="1">
    <brk id="22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4"/>
  <sheetViews>
    <sheetView topLeftCell="A5" zoomScale="130" zoomScaleNormal="130" workbookViewId="0">
      <selection activeCell="F166" sqref="F166"/>
    </sheetView>
  </sheetViews>
  <sheetFormatPr defaultRowHeight="15"/>
  <cols>
    <col min="1" max="1" width="6.85546875" bestFit="1" customWidth="1"/>
    <col min="2" max="2" width="9.85546875" customWidth="1"/>
    <col min="3" max="3" width="9.28515625" customWidth="1"/>
    <col min="4" max="8" width="11.42578125" customWidth="1"/>
  </cols>
  <sheetData>
    <row r="1" spans="1:5" ht="15.75" hidden="1" thickBot="1">
      <c r="A1" s="65" t="s">
        <v>22</v>
      </c>
      <c r="B1" s="66"/>
      <c r="C1" s="66"/>
      <c r="D1" s="66"/>
      <c r="E1" s="66"/>
    </row>
    <row r="2" spans="1:5" ht="15.75" hidden="1" thickBot="1">
      <c r="A2" s="65"/>
      <c r="B2" s="66"/>
      <c r="C2" s="66"/>
      <c r="D2" s="66"/>
      <c r="E2" s="66"/>
    </row>
    <row r="3" spans="1:5" ht="43.9" hidden="1" customHeight="1">
      <c r="A3" s="65"/>
      <c r="B3" s="66"/>
      <c r="C3" s="66"/>
      <c r="D3" s="66"/>
      <c r="E3" s="66"/>
    </row>
    <row r="4" spans="1:5" ht="15.75" hidden="1" thickBot="1"/>
    <row r="5" spans="1:5" ht="91.15" customHeight="1" thickBot="1">
      <c r="A5" s="1" t="s">
        <v>21</v>
      </c>
      <c r="B5" s="1" t="s">
        <v>19</v>
      </c>
      <c r="C5" s="1" t="s">
        <v>18</v>
      </c>
      <c r="D5" s="1" t="s">
        <v>6</v>
      </c>
    </row>
    <row r="6" spans="1:5" ht="17.25" thickTop="1" thickBot="1">
      <c r="A6" s="2">
        <v>1</v>
      </c>
      <c r="B6" s="3">
        <v>1</v>
      </c>
      <c r="C6" s="3"/>
      <c r="D6" s="3" t="s">
        <v>1</v>
      </c>
    </row>
    <row r="7" spans="1:5" ht="17.25" thickTop="1" thickBot="1">
      <c r="A7" s="2">
        <v>2</v>
      </c>
      <c r="B7" s="3">
        <v>1</v>
      </c>
      <c r="C7" s="3"/>
      <c r="D7" s="3" t="s">
        <v>2</v>
      </c>
    </row>
    <row r="8" spans="1:5" ht="17.25" thickTop="1" thickBot="1">
      <c r="A8" s="2">
        <v>3</v>
      </c>
      <c r="B8" s="3">
        <v>1</v>
      </c>
      <c r="C8" s="3"/>
      <c r="D8" s="3" t="s">
        <v>1</v>
      </c>
    </row>
    <row r="9" spans="1:5" ht="17.25" thickTop="1" thickBot="1">
      <c r="A9" s="2">
        <v>4</v>
      </c>
      <c r="B9" s="3">
        <v>1</v>
      </c>
      <c r="C9" s="3"/>
      <c r="D9" s="3" t="s">
        <v>3</v>
      </c>
    </row>
    <row r="10" spans="1:5" ht="17.25" thickTop="1" thickBot="1">
      <c r="A10" s="2">
        <v>5</v>
      </c>
      <c r="B10" s="3">
        <v>1</v>
      </c>
      <c r="C10" s="3"/>
      <c r="D10" s="3" t="s">
        <v>1</v>
      </c>
    </row>
    <row r="11" spans="1:5" ht="17.25" thickTop="1" thickBot="1">
      <c r="A11" s="2">
        <v>6</v>
      </c>
      <c r="B11" s="3">
        <v>1</v>
      </c>
      <c r="C11" s="3"/>
      <c r="D11" s="3" t="s">
        <v>1</v>
      </c>
    </row>
    <row r="12" spans="1:5" ht="17.25" thickTop="1" thickBot="1">
      <c r="A12" s="2">
        <v>7</v>
      </c>
      <c r="B12" s="3">
        <v>1</v>
      </c>
      <c r="C12" s="3"/>
      <c r="D12" s="3" t="s">
        <v>1</v>
      </c>
    </row>
    <row r="13" spans="1:5" ht="17.25" thickTop="1" thickBot="1">
      <c r="A13" s="2">
        <v>8</v>
      </c>
      <c r="B13" s="3">
        <v>1</v>
      </c>
      <c r="C13" s="3"/>
      <c r="D13" s="3" t="s">
        <v>3</v>
      </c>
    </row>
    <row r="14" spans="1:5" ht="17.25" thickTop="1" thickBot="1">
      <c r="A14" s="2">
        <v>9</v>
      </c>
      <c r="B14" s="3">
        <v>1</v>
      </c>
      <c r="C14" s="3"/>
      <c r="D14" s="3" t="s">
        <v>2</v>
      </c>
    </row>
    <row r="15" spans="1:5" ht="17.25" thickTop="1" thickBot="1">
      <c r="A15" s="2">
        <v>10</v>
      </c>
      <c r="B15" s="3">
        <v>1</v>
      </c>
      <c r="C15" s="3"/>
      <c r="D15" s="3" t="s">
        <v>1</v>
      </c>
    </row>
    <row r="16" spans="1:5" ht="17.25" thickTop="1" thickBot="1">
      <c r="A16" s="2">
        <v>11</v>
      </c>
      <c r="B16" s="3">
        <v>1</v>
      </c>
      <c r="C16" s="3"/>
      <c r="D16" s="3" t="s">
        <v>1</v>
      </c>
    </row>
    <row r="17" spans="1:4" ht="17.25" thickTop="1" thickBot="1">
      <c r="A17" s="2">
        <v>12</v>
      </c>
      <c r="B17" s="3">
        <v>1</v>
      </c>
      <c r="C17" s="3"/>
      <c r="D17" s="3" t="s">
        <v>1</v>
      </c>
    </row>
    <row r="18" spans="1:4" ht="17.25" thickTop="1" thickBot="1">
      <c r="A18" s="2">
        <v>13</v>
      </c>
      <c r="B18" s="3">
        <v>1</v>
      </c>
      <c r="C18" s="3"/>
      <c r="D18" s="3" t="s">
        <v>1</v>
      </c>
    </row>
    <row r="19" spans="1:4" ht="17.25" thickTop="1" thickBot="1">
      <c r="A19" s="2">
        <v>14</v>
      </c>
      <c r="B19" s="3">
        <v>1</v>
      </c>
      <c r="C19" s="3"/>
      <c r="D19" s="3" t="s">
        <v>3</v>
      </c>
    </row>
    <row r="20" spans="1:4" ht="17.25" thickTop="1" thickBot="1">
      <c r="A20" s="2">
        <v>15</v>
      </c>
      <c r="B20" s="3">
        <v>1</v>
      </c>
      <c r="C20" s="3"/>
      <c r="D20" s="3" t="s">
        <v>1</v>
      </c>
    </row>
    <row r="21" spans="1:4" ht="17.25" thickTop="1" thickBot="1">
      <c r="A21" s="2">
        <v>16</v>
      </c>
      <c r="B21" s="3">
        <v>1</v>
      </c>
      <c r="C21" s="3"/>
      <c r="D21" s="3" t="s">
        <v>3</v>
      </c>
    </row>
    <row r="22" spans="1:4" ht="17.25" thickTop="1" thickBot="1">
      <c r="A22" s="2">
        <v>17</v>
      </c>
      <c r="B22" s="3">
        <v>1</v>
      </c>
      <c r="C22" s="3"/>
      <c r="D22" s="3" t="s">
        <v>2</v>
      </c>
    </row>
    <row r="23" spans="1:4" ht="17.25" thickTop="1" thickBot="1">
      <c r="A23" s="2">
        <v>18</v>
      </c>
      <c r="B23" s="3">
        <v>1</v>
      </c>
      <c r="C23" s="3"/>
      <c r="D23" s="3" t="s">
        <v>1</v>
      </c>
    </row>
    <row r="24" spans="1:4" ht="17.25" thickTop="1" thickBot="1">
      <c r="A24" s="2">
        <v>19</v>
      </c>
      <c r="B24" s="3">
        <v>1</v>
      </c>
      <c r="C24" s="3"/>
      <c r="D24" s="3" t="s">
        <v>0</v>
      </c>
    </row>
    <row r="25" spans="1:4" ht="17.25" thickTop="1" thickBot="1">
      <c r="A25" s="2">
        <v>20</v>
      </c>
      <c r="B25" s="3">
        <v>1</v>
      </c>
      <c r="C25" s="3"/>
      <c r="D25" s="3" t="s">
        <v>3</v>
      </c>
    </row>
    <row r="26" spans="1:4" ht="17.25" thickTop="1" thickBot="1">
      <c r="A26" s="2">
        <v>21</v>
      </c>
      <c r="B26" s="3">
        <v>1</v>
      </c>
      <c r="C26" s="3"/>
      <c r="D26" s="3" t="s">
        <v>2</v>
      </c>
    </row>
    <row r="27" spans="1:4" ht="17.25" thickTop="1" thickBot="1">
      <c r="A27" s="2">
        <v>22</v>
      </c>
      <c r="B27" s="3">
        <v>1</v>
      </c>
      <c r="C27" s="3"/>
      <c r="D27" s="3" t="s">
        <v>2</v>
      </c>
    </row>
    <row r="28" spans="1:4" ht="17.25" thickTop="1" thickBot="1">
      <c r="A28" s="2">
        <v>23</v>
      </c>
      <c r="B28" s="3">
        <v>1</v>
      </c>
      <c r="C28" s="3"/>
      <c r="D28" s="3" t="s">
        <v>0</v>
      </c>
    </row>
    <row r="29" spans="1:4" ht="17.25" thickTop="1" thickBot="1">
      <c r="A29" s="2">
        <v>24</v>
      </c>
      <c r="B29" s="3">
        <v>1</v>
      </c>
      <c r="C29" s="3"/>
      <c r="D29" s="3" t="s">
        <v>1</v>
      </c>
    </row>
    <row r="30" spans="1:4" ht="17.25" thickTop="1" thickBot="1">
      <c r="A30" s="2">
        <v>25</v>
      </c>
      <c r="B30" s="3">
        <v>1</v>
      </c>
      <c r="C30" s="3"/>
      <c r="D30" s="3" t="s">
        <v>3</v>
      </c>
    </row>
    <row r="31" spans="1:4" ht="17.25" thickTop="1" thickBot="1">
      <c r="A31" s="2">
        <v>26</v>
      </c>
      <c r="B31" s="3">
        <v>1</v>
      </c>
      <c r="C31" s="3"/>
      <c r="D31" s="3" t="s">
        <v>2</v>
      </c>
    </row>
    <row r="32" spans="1:4" ht="17.25" thickTop="1" thickBot="1">
      <c r="A32" s="2">
        <v>27</v>
      </c>
      <c r="B32" s="3">
        <v>1</v>
      </c>
      <c r="C32" s="3"/>
      <c r="D32" s="3" t="s">
        <v>2</v>
      </c>
    </row>
    <row r="33" spans="1:4" ht="17.25" thickTop="1" thickBot="1">
      <c r="A33" s="2">
        <v>28</v>
      </c>
      <c r="B33" s="3">
        <v>1</v>
      </c>
      <c r="C33" s="3"/>
      <c r="D33" s="3" t="s">
        <v>3</v>
      </c>
    </row>
    <row r="34" spans="1:4" ht="17.25" thickTop="1" thickBot="1">
      <c r="A34" s="2">
        <v>29</v>
      </c>
      <c r="B34" s="3">
        <v>1</v>
      </c>
      <c r="C34" s="3"/>
      <c r="D34" s="3" t="s">
        <v>2</v>
      </c>
    </row>
    <row r="35" spans="1:4" ht="17.25" thickTop="1" thickBot="1">
      <c r="A35" s="2">
        <v>30</v>
      </c>
      <c r="B35" s="3">
        <v>1</v>
      </c>
      <c r="C35" s="3"/>
      <c r="D35" s="3" t="s">
        <v>1</v>
      </c>
    </row>
    <row r="36" spans="1:4" ht="17.25" thickTop="1" thickBot="1">
      <c r="A36" s="2">
        <v>31</v>
      </c>
      <c r="B36" s="3">
        <v>1</v>
      </c>
      <c r="C36" s="3"/>
      <c r="D36" s="3" t="s">
        <v>1</v>
      </c>
    </row>
    <row r="37" spans="1:4" ht="17.25" thickTop="1" thickBot="1">
      <c r="A37" s="2">
        <v>32</v>
      </c>
      <c r="B37" s="3">
        <v>1</v>
      </c>
      <c r="C37" s="3"/>
      <c r="D37" s="3" t="s">
        <v>3</v>
      </c>
    </row>
    <row r="38" spans="1:4" ht="17.25" thickTop="1" thickBot="1">
      <c r="A38" s="2">
        <v>33</v>
      </c>
      <c r="B38" s="3">
        <v>1</v>
      </c>
      <c r="C38" s="3"/>
      <c r="D38" s="3" t="s">
        <v>1</v>
      </c>
    </row>
    <row r="39" spans="1:4" ht="17.25" thickTop="1" thickBot="1">
      <c r="A39" s="2">
        <v>34</v>
      </c>
      <c r="B39" s="3">
        <v>1</v>
      </c>
      <c r="C39" s="3"/>
      <c r="D39" s="3" t="s">
        <v>3</v>
      </c>
    </row>
    <row r="40" spans="1:4" ht="17.25" thickTop="1" thickBot="1">
      <c r="A40" s="2">
        <v>35</v>
      </c>
      <c r="B40" s="3">
        <v>1</v>
      </c>
      <c r="C40" s="3"/>
      <c r="D40" s="3" t="s">
        <v>2</v>
      </c>
    </row>
    <row r="41" spans="1:4" ht="17.25" thickTop="1" thickBot="1">
      <c r="A41" s="2">
        <v>36</v>
      </c>
      <c r="B41" s="3">
        <v>1</v>
      </c>
      <c r="C41" s="3"/>
      <c r="D41" s="3" t="s">
        <v>0</v>
      </c>
    </row>
    <row r="42" spans="1:4" ht="17.25" thickTop="1" thickBot="1">
      <c r="A42" s="2">
        <v>37</v>
      </c>
      <c r="B42" s="3">
        <v>1</v>
      </c>
      <c r="C42" s="3"/>
      <c r="D42" s="3" t="s">
        <v>3</v>
      </c>
    </row>
    <row r="43" spans="1:4" ht="17.25" thickTop="1" thickBot="1">
      <c r="A43" s="2">
        <v>38</v>
      </c>
      <c r="B43" s="3">
        <v>1</v>
      </c>
      <c r="C43" s="3"/>
      <c r="D43" s="3" t="s">
        <v>1</v>
      </c>
    </row>
    <row r="44" spans="1:4" ht="17.25" thickTop="1" thickBot="1">
      <c r="A44" s="2">
        <v>39</v>
      </c>
      <c r="B44" s="3">
        <v>1</v>
      </c>
      <c r="C44" s="3"/>
      <c r="D44" s="3" t="s">
        <v>0</v>
      </c>
    </row>
    <row r="45" spans="1:4" ht="17.25" thickTop="1" thickBot="1">
      <c r="A45" s="2">
        <v>40</v>
      </c>
      <c r="B45" s="3">
        <v>1</v>
      </c>
      <c r="C45" s="3"/>
      <c r="D45" s="3" t="s">
        <v>2</v>
      </c>
    </row>
    <row r="46" spans="1:4" ht="17.25" thickTop="1" thickBot="1">
      <c r="A46" s="2">
        <v>41</v>
      </c>
      <c r="B46" s="3">
        <v>1</v>
      </c>
      <c r="C46" s="3"/>
      <c r="D46" s="3" t="s">
        <v>0</v>
      </c>
    </row>
    <row r="47" spans="1:4" ht="17.25" thickTop="1" thickBot="1">
      <c r="A47" s="2">
        <v>42</v>
      </c>
      <c r="B47" s="3">
        <v>1</v>
      </c>
      <c r="C47" s="3"/>
      <c r="D47" s="3" t="s">
        <v>1</v>
      </c>
    </row>
    <row r="48" spans="1:4" ht="17.25" thickTop="1" thickBot="1">
      <c r="A48" s="2">
        <v>43</v>
      </c>
      <c r="B48" s="3">
        <v>1</v>
      </c>
      <c r="C48" s="3"/>
      <c r="D48" s="3" t="s">
        <v>1</v>
      </c>
    </row>
    <row r="49" spans="1:4" ht="17.25" thickTop="1" thickBot="1">
      <c r="A49" s="2">
        <v>44</v>
      </c>
      <c r="B49" s="3">
        <v>1</v>
      </c>
      <c r="C49" s="3"/>
      <c r="D49" s="3" t="s">
        <v>2</v>
      </c>
    </row>
    <row r="50" spans="1:4" ht="17.25" thickTop="1" thickBot="1">
      <c r="A50" s="2">
        <v>45</v>
      </c>
      <c r="B50" s="3">
        <v>1</v>
      </c>
      <c r="C50" s="3"/>
      <c r="D50" s="3" t="s">
        <v>0</v>
      </c>
    </row>
    <row r="51" spans="1:4" ht="17.25" thickTop="1" thickBot="1">
      <c r="A51" s="2">
        <v>46</v>
      </c>
      <c r="B51" s="3">
        <v>1</v>
      </c>
      <c r="C51" s="3"/>
      <c r="D51" s="3" t="s">
        <v>1</v>
      </c>
    </row>
    <row r="52" spans="1:4" ht="17.25" thickTop="1" thickBot="1">
      <c r="A52" s="2">
        <v>47</v>
      </c>
      <c r="B52" s="3">
        <v>1</v>
      </c>
      <c r="C52" s="3"/>
      <c r="D52" s="3" t="s">
        <v>0</v>
      </c>
    </row>
    <row r="53" spans="1:4" ht="17.25" thickTop="1" thickBot="1">
      <c r="A53" s="2">
        <v>48</v>
      </c>
      <c r="B53" s="3">
        <v>1</v>
      </c>
      <c r="C53" s="3"/>
      <c r="D53" s="3" t="s">
        <v>2</v>
      </c>
    </row>
    <row r="54" spans="1:4" ht="17.25" thickTop="1" thickBot="1">
      <c r="A54" s="2">
        <v>49</v>
      </c>
      <c r="B54" s="3">
        <v>1</v>
      </c>
      <c r="C54" s="3"/>
      <c r="D54" s="3" t="s">
        <v>0</v>
      </c>
    </row>
    <row r="55" spans="1:4" ht="17.25" thickTop="1" thickBot="1">
      <c r="A55" s="2">
        <v>50</v>
      </c>
      <c r="B55" s="3">
        <v>1</v>
      </c>
      <c r="C55" s="3"/>
      <c r="D55" s="3" t="s">
        <v>3</v>
      </c>
    </row>
    <row r="56" spans="1:4" ht="17.25" thickTop="1" thickBot="1">
      <c r="A56" s="2">
        <v>51</v>
      </c>
      <c r="B56" s="3">
        <v>1</v>
      </c>
      <c r="C56" s="3"/>
      <c r="D56" s="3" t="s">
        <v>3</v>
      </c>
    </row>
    <row r="57" spans="1:4" ht="17.25" thickTop="1" thickBot="1">
      <c r="A57" s="2">
        <v>52</v>
      </c>
      <c r="B57" s="3">
        <v>1</v>
      </c>
      <c r="C57" s="3"/>
      <c r="D57" s="3" t="s">
        <v>0</v>
      </c>
    </row>
    <row r="58" spans="1:4" ht="17.25" thickTop="1" thickBot="1">
      <c r="A58" s="2">
        <v>53</v>
      </c>
      <c r="B58" s="3">
        <v>1</v>
      </c>
      <c r="C58" s="3"/>
      <c r="D58" s="3" t="s">
        <v>2</v>
      </c>
    </row>
    <row r="59" spans="1:4" ht="17.25" thickTop="1" thickBot="1">
      <c r="A59" s="2">
        <v>54</v>
      </c>
      <c r="B59" s="3">
        <v>1</v>
      </c>
      <c r="C59" s="3"/>
      <c r="D59" s="3" t="s">
        <v>1</v>
      </c>
    </row>
    <row r="60" spans="1:4" ht="17.25" thickTop="1" thickBot="1">
      <c r="A60" s="2">
        <v>55</v>
      </c>
      <c r="B60" s="3">
        <v>1</v>
      </c>
      <c r="C60" s="3"/>
      <c r="D60" s="3" t="s">
        <v>2</v>
      </c>
    </row>
    <row r="61" spans="1:4" ht="17.25" thickTop="1" thickBot="1">
      <c r="A61" s="2">
        <v>56</v>
      </c>
      <c r="B61" s="3">
        <v>1</v>
      </c>
      <c r="C61" s="3"/>
      <c r="D61" s="3" t="s">
        <v>0</v>
      </c>
    </row>
    <row r="62" spans="1:4" ht="17.25" thickTop="1" thickBot="1">
      <c r="A62" s="2">
        <v>57</v>
      </c>
      <c r="B62" s="3">
        <v>1</v>
      </c>
      <c r="C62" s="3"/>
      <c r="D62" s="3" t="s">
        <v>2</v>
      </c>
    </row>
    <row r="63" spans="1:4" ht="17.25" thickTop="1" thickBot="1">
      <c r="A63" s="2">
        <v>58</v>
      </c>
      <c r="B63" s="3">
        <v>1</v>
      </c>
      <c r="C63" s="3"/>
      <c r="D63" s="3" t="s">
        <v>1</v>
      </c>
    </row>
    <row r="64" spans="1:4" ht="17.25" thickTop="1" thickBot="1">
      <c r="A64" s="2">
        <v>59</v>
      </c>
      <c r="B64" s="3">
        <v>1</v>
      </c>
      <c r="C64" s="3"/>
      <c r="D64" s="3" t="s">
        <v>3</v>
      </c>
    </row>
    <row r="65" spans="1:4" ht="17.25" thickTop="1" thickBot="1">
      <c r="A65" s="2">
        <v>60</v>
      </c>
      <c r="B65" s="3">
        <v>1</v>
      </c>
      <c r="C65" s="3"/>
      <c r="D65" s="3" t="s">
        <v>1</v>
      </c>
    </row>
    <row r="66" spans="1:4" ht="17.25" thickTop="1" thickBot="1">
      <c r="A66" s="2">
        <v>61</v>
      </c>
      <c r="B66" s="3">
        <v>1</v>
      </c>
      <c r="C66" s="3"/>
      <c r="D66" s="3" t="s">
        <v>2</v>
      </c>
    </row>
    <row r="67" spans="1:4" ht="17.25" thickTop="1" thickBot="1">
      <c r="A67" s="2">
        <v>62</v>
      </c>
      <c r="B67" s="3">
        <v>1</v>
      </c>
      <c r="C67" s="3"/>
      <c r="D67" s="3" t="s">
        <v>1</v>
      </c>
    </row>
    <row r="68" spans="1:4" ht="17.25" thickTop="1" thickBot="1">
      <c r="A68" s="2">
        <v>63</v>
      </c>
      <c r="B68" s="3">
        <v>1</v>
      </c>
      <c r="C68" s="3"/>
      <c r="D68" s="3" t="s">
        <v>3</v>
      </c>
    </row>
    <row r="69" spans="1:4" ht="17.25" thickTop="1" thickBot="1">
      <c r="A69" s="2">
        <v>64</v>
      </c>
      <c r="B69" s="3">
        <v>1</v>
      </c>
      <c r="C69" s="3"/>
      <c r="D69" s="3" t="s">
        <v>1</v>
      </c>
    </row>
    <row r="70" spans="1:4" ht="17.25" thickTop="1" thickBot="1">
      <c r="A70" s="2">
        <v>65</v>
      </c>
      <c r="B70" s="3">
        <v>1</v>
      </c>
      <c r="C70" s="3"/>
      <c r="D70" s="3" t="s">
        <v>1</v>
      </c>
    </row>
    <row r="71" spans="1:4" ht="17.25" thickTop="1" thickBot="1">
      <c r="A71" s="2">
        <v>66</v>
      </c>
      <c r="B71" s="3">
        <v>1</v>
      </c>
      <c r="C71" s="3"/>
      <c r="D71" s="3" t="s">
        <v>2</v>
      </c>
    </row>
    <row r="72" spans="1:4" ht="17.25" thickTop="1" thickBot="1">
      <c r="A72" s="2">
        <v>67</v>
      </c>
      <c r="B72" s="3">
        <v>1</v>
      </c>
      <c r="C72" s="3"/>
      <c r="D72" s="3" t="s">
        <v>1</v>
      </c>
    </row>
    <row r="73" spans="1:4" ht="17.25" thickTop="1" thickBot="1">
      <c r="A73" s="2">
        <v>68</v>
      </c>
      <c r="B73" s="3">
        <v>1</v>
      </c>
      <c r="C73" s="3"/>
      <c r="D73" s="3" t="s">
        <v>1</v>
      </c>
    </row>
    <row r="74" spans="1:4" ht="17.25" thickTop="1" thickBot="1">
      <c r="A74" s="2">
        <v>69</v>
      </c>
      <c r="B74" s="3">
        <v>1</v>
      </c>
      <c r="C74" s="3"/>
      <c r="D74" s="3" t="s">
        <v>2</v>
      </c>
    </row>
    <row r="75" spans="1:4" ht="17.25" thickTop="1" thickBot="1">
      <c r="A75" s="2">
        <v>70</v>
      </c>
      <c r="B75" s="3">
        <v>1</v>
      </c>
      <c r="C75" s="3"/>
      <c r="D75" s="3" t="s">
        <v>1</v>
      </c>
    </row>
    <row r="76" spans="1:4" ht="17.25" thickTop="1" thickBot="1">
      <c r="A76" s="2">
        <v>71</v>
      </c>
      <c r="B76" s="3">
        <v>1</v>
      </c>
      <c r="C76" s="3"/>
      <c r="D76" s="3" t="s">
        <v>0</v>
      </c>
    </row>
    <row r="77" spans="1:4" ht="17.25" thickTop="1" thickBot="1">
      <c r="A77" s="2">
        <v>72</v>
      </c>
      <c r="B77" s="3">
        <v>1</v>
      </c>
      <c r="C77" s="3"/>
      <c r="D77" s="3" t="s">
        <v>1</v>
      </c>
    </row>
    <row r="78" spans="1:4" ht="17.25" thickTop="1" thickBot="1">
      <c r="A78" s="2">
        <v>73</v>
      </c>
      <c r="B78" s="3">
        <v>1</v>
      </c>
      <c r="C78" s="3"/>
      <c r="D78" s="3" t="s">
        <v>2</v>
      </c>
    </row>
    <row r="79" spans="1:4" ht="17.25" thickTop="1" thickBot="1">
      <c r="A79" s="2">
        <v>74</v>
      </c>
      <c r="B79" s="3">
        <v>1</v>
      </c>
      <c r="C79" s="3"/>
      <c r="D79" s="3" t="s">
        <v>1</v>
      </c>
    </row>
    <row r="80" spans="1:4" ht="17.25" thickTop="1" thickBot="1">
      <c r="A80" s="2">
        <v>75</v>
      </c>
      <c r="B80" s="3">
        <v>1</v>
      </c>
      <c r="C80" s="3"/>
      <c r="D80" s="3" t="s">
        <v>2</v>
      </c>
    </row>
    <row r="81" spans="1:4" ht="17.25" thickTop="1" thickBot="1">
      <c r="A81" s="2">
        <v>76</v>
      </c>
      <c r="B81" s="3">
        <v>1</v>
      </c>
      <c r="C81" s="3"/>
      <c r="D81" s="3" t="s">
        <v>1</v>
      </c>
    </row>
    <row r="82" spans="1:4" ht="17.25" thickTop="1" thickBot="1">
      <c r="A82" s="2">
        <v>77</v>
      </c>
      <c r="B82" s="3">
        <v>1</v>
      </c>
      <c r="C82" s="3"/>
      <c r="D82" s="3" t="s">
        <v>2</v>
      </c>
    </row>
    <row r="83" spans="1:4" ht="17.25" thickTop="1" thickBot="1">
      <c r="A83" s="2">
        <v>78</v>
      </c>
      <c r="B83" s="3">
        <v>1</v>
      </c>
      <c r="C83" s="3"/>
      <c r="D83" s="3" t="s">
        <v>1</v>
      </c>
    </row>
    <row r="84" spans="1:4" ht="17.25" thickTop="1" thickBot="1">
      <c r="A84" s="2">
        <v>79</v>
      </c>
      <c r="B84" s="3">
        <v>1</v>
      </c>
      <c r="C84" s="3"/>
      <c r="D84" s="3" t="s">
        <v>3</v>
      </c>
    </row>
    <row r="85" spans="1:4" ht="17.25" thickTop="1" thickBot="1">
      <c r="A85" s="2">
        <v>80</v>
      </c>
      <c r="B85" s="3">
        <v>1</v>
      </c>
      <c r="C85" s="3"/>
      <c r="D85" s="3" t="s">
        <v>2</v>
      </c>
    </row>
    <row r="86" spans="1:4" ht="17.25" thickTop="1" thickBot="1">
      <c r="A86" s="2">
        <v>81</v>
      </c>
      <c r="B86" s="3">
        <v>1</v>
      </c>
      <c r="C86" s="3"/>
      <c r="D86" s="3" t="s">
        <v>1</v>
      </c>
    </row>
    <row r="87" spans="1:4" ht="17.25" thickTop="1" thickBot="1">
      <c r="A87" s="2">
        <v>82</v>
      </c>
      <c r="B87" s="3">
        <v>1</v>
      </c>
      <c r="C87" s="3"/>
      <c r="D87" s="3" t="s">
        <v>2</v>
      </c>
    </row>
    <row r="88" spans="1:4" ht="17.25" thickTop="1" thickBot="1">
      <c r="A88" s="2">
        <v>83</v>
      </c>
      <c r="B88" s="3">
        <v>1</v>
      </c>
      <c r="C88" s="3"/>
      <c r="D88" s="3" t="s">
        <v>3</v>
      </c>
    </row>
    <row r="89" spans="1:4" ht="17.25" thickTop="1" thickBot="1">
      <c r="A89" s="2">
        <v>84</v>
      </c>
      <c r="B89" s="3">
        <v>1</v>
      </c>
      <c r="C89" s="3"/>
      <c r="D89" s="3" t="s">
        <v>1</v>
      </c>
    </row>
    <row r="90" spans="1:4" ht="17.25" thickTop="1" thickBot="1">
      <c r="A90" s="2">
        <v>85</v>
      </c>
      <c r="B90" s="3">
        <v>1</v>
      </c>
      <c r="C90" s="3"/>
      <c r="D90" s="3" t="s">
        <v>0</v>
      </c>
    </row>
    <row r="91" spans="1:4" ht="17.25" thickTop="1" thickBot="1">
      <c r="A91" s="2">
        <v>86</v>
      </c>
      <c r="B91" s="3">
        <v>1</v>
      </c>
      <c r="C91" s="3"/>
      <c r="D91" s="3" t="s">
        <v>3</v>
      </c>
    </row>
    <row r="92" spans="1:4" ht="17.25" thickTop="1" thickBot="1">
      <c r="A92" s="2">
        <v>87</v>
      </c>
      <c r="B92" s="3">
        <v>1</v>
      </c>
      <c r="C92" s="3"/>
      <c r="D92" s="3" t="s">
        <v>1</v>
      </c>
    </row>
    <row r="93" spans="1:4" ht="17.25" thickTop="1" thickBot="1">
      <c r="A93" s="2">
        <v>88</v>
      </c>
      <c r="B93" s="3">
        <v>1</v>
      </c>
      <c r="C93" s="3"/>
      <c r="D93" s="3" t="s">
        <v>3</v>
      </c>
    </row>
    <row r="94" spans="1:4" ht="17.25" thickTop="1" thickBot="1">
      <c r="A94" s="2">
        <v>89</v>
      </c>
      <c r="B94" s="3">
        <v>1</v>
      </c>
      <c r="C94" s="3"/>
      <c r="D94" s="3" t="s">
        <v>3</v>
      </c>
    </row>
    <row r="95" spans="1:4" ht="17.25" thickTop="1" thickBot="1">
      <c r="A95" s="2">
        <v>90</v>
      </c>
      <c r="B95" s="3">
        <v>1</v>
      </c>
      <c r="C95" s="3"/>
      <c r="D95" s="3" t="s">
        <v>1</v>
      </c>
    </row>
    <row r="96" spans="1:4" ht="17.25" thickTop="1" thickBot="1">
      <c r="A96" s="2">
        <v>91</v>
      </c>
      <c r="B96" s="3">
        <v>1</v>
      </c>
      <c r="C96" s="3"/>
      <c r="D96" s="3" t="s">
        <v>2</v>
      </c>
    </row>
    <row r="97" spans="1:4" ht="17.25" thickTop="1" thickBot="1">
      <c r="A97" s="2">
        <v>92</v>
      </c>
      <c r="B97" s="3">
        <v>1</v>
      </c>
      <c r="C97" s="3"/>
      <c r="D97" s="3" t="s">
        <v>1</v>
      </c>
    </row>
    <row r="98" spans="1:4" ht="17.25" thickTop="1" thickBot="1">
      <c r="A98" s="2">
        <v>93</v>
      </c>
      <c r="B98" s="3">
        <v>1</v>
      </c>
      <c r="C98" s="3"/>
      <c r="D98" s="3" t="s">
        <v>3</v>
      </c>
    </row>
    <row r="99" spans="1:4" ht="17.25" thickTop="1" thickBot="1">
      <c r="A99" s="2">
        <v>94</v>
      </c>
      <c r="B99" s="3">
        <v>1</v>
      </c>
      <c r="C99" s="3"/>
      <c r="D99" s="3" t="s">
        <v>0</v>
      </c>
    </row>
    <row r="100" spans="1:4" ht="17.25" thickTop="1" thickBot="1">
      <c r="A100" s="2">
        <v>95</v>
      </c>
      <c r="B100" s="3">
        <v>1</v>
      </c>
      <c r="C100" s="3"/>
      <c r="D100" s="3" t="s">
        <v>2</v>
      </c>
    </row>
    <row r="101" spans="1:4" ht="17.25" thickTop="1" thickBot="1">
      <c r="A101" s="2">
        <v>96</v>
      </c>
      <c r="B101" s="3">
        <v>1</v>
      </c>
      <c r="C101" s="3"/>
      <c r="D101" s="3" t="s">
        <v>1</v>
      </c>
    </row>
    <row r="102" spans="1:4" ht="17.25" thickTop="1" thickBot="1">
      <c r="A102" s="2">
        <v>97</v>
      </c>
      <c r="B102" s="3">
        <v>1</v>
      </c>
      <c r="C102" s="3"/>
      <c r="D102" s="3" t="s">
        <v>2</v>
      </c>
    </row>
    <row r="103" spans="1:4" ht="17.25" thickTop="1" thickBot="1">
      <c r="A103" s="2">
        <v>98</v>
      </c>
      <c r="B103" s="3">
        <v>1</v>
      </c>
      <c r="C103" s="3"/>
      <c r="D103" s="3" t="s">
        <v>0</v>
      </c>
    </row>
    <row r="104" spans="1:4" ht="17.25" thickTop="1" thickBot="1">
      <c r="A104" s="2">
        <v>99</v>
      </c>
      <c r="B104" s="3">
        <v>1</v>
      </c>
      <c r="C104" s="3"/>
      <c r="D104" s="3" t="s">
        <v>2</v>
      </c>
    </row>
    <row r="105" spans="1:4" ht="17.25" thickTop="1" thickBot="1">
      <c r="A105" s="2">
        <v>100</v>
      </c>
      <c r="B105" s="3">
        <v>1</v>
      </c>
      <c r="C105" s="3"/>
      <c r="D105" s="3" t="s">
        <v>1</v>
      </c>
    </row>
    <row r="106" spans="1:4" ht="17.25" thickTop="1" thickBot="1">
      <c r="A106" s="2">
        <v>101</v>
      </c>
      <c r="B106" s="3">
        <v>1</v>
      </c>
      <c r="C106" s="3"/>
      <c r="D106" s="3" t="s">
        <v>3</v>
      </c>
    </row>
    <row r="107" spans="1:4" ht="17.25" thickTop="1" thickBot="1">
      <c r="A107" s="2">
        <v>102</v>
      </c>
      <c r="B107" s="3">
        <v>1</v>
      </c>
      <c r="C107" s="3"/>
      <c r="D107" s="3" t="s">
        <v>3</v>
      </c>
    </row>
    <row r="108" spans="1:4" ht="17.25" thickTop="1" thickBot="1">
      <c r="A108" s="2">
        <v>103</v>
      </c>
      <c r="B108" s="3">
        <v>1</v>
      </c>
      <c r="C108" s="3"/>
      <c r="D108" s="3" t="s">
        <v>0</v>
      </c>
    </row>
    <row r="109" spans="1:4" ht="17.25" thickTop="1" thickBot="1">
      <c r="A109" s="2">
        <v>104</v>
      </c>
      <c r="B109" s="3">
        <v>1</v>
      </c>
      <c r="C109" s="3"/>
      <c r="D109" s="3" t="s">
        <v>3</v>
      </c>
    </row>
    <row r="110" spans="1:4" ht="17.25" thickTop="1" thickBot="1">
      <c r="A110" s="2">
        <v>105</v>
      </c>
      <c r="B110" s="3">
        <v>1</v>
      </c>
      <c r="C110" s="3"/>
      <c r="D110" s="3" t="s">
        <v>1</v>
      </c>
    </row>
    <row r="111" spans="1:4" ht="17.25" thickTop="1" thickBot="1">
      <c r="A111" s="2">
        <v>106</v>
      </c>
      <c r="B111" s="3">
        <v>1</v>
      </c>
      <c r="C111" s="3"/>
      <c r="D111" s="3" t="s">
        <v>2</v>
      </c>
    </row>
    <row r="112" spans="1:4" ht="17.25" thickTop="1" thickBot="1">
      <c r="A112" s="2">
        <v>107</v>
      </c>
      <c r="B112" s="3">
        <v>1</v>
      </c>
      <c r="C112" s="3"/>
      <c r="D112" s="3" t="s">
        <v>2</v>
      </c>
    </row>
    <row r="113" spans="1:4" ht="17.25" thickTop="1" thickBot="1">
      <c r="A113" s="2">
        <v>108</v>
      </c>
      <c r="B113" s="3">
        <v>1</v>
      </c>
      <c r="C113" s="3"/>
      <c r="D113" s="3" t="s">
        <v>2</v>
      </c>
    </row>
    <row r="114" spans="1:4" ht="17.25" thickTop="1" thickBot="1">
      <c r="A114" s="2">
        <v>109</v>
      </c>
      <c r="B114" s="3">
        <v>1</v>
      </c>
      <c r="C114" s="3"/>
      <c r="D114" s="3" t="s">
        <v>1</v>
      </c>
    </row>
    <row r="115" spans="1:4" ht="17.25" thickTop="1" thickBot="1">
      <c r="A115" s="2">
        <v>110</v>
      </c>
      <c r="B115" s="3">
        <v>1</v>
      </c>
      <c r="C115" s="3"/>
      <c r="D115" s="3" t="s">
        <v>3</v>
      </c>
    </row>
    <row r="116" spans="1:4" ht="17.25" thickTop="1" thickBot="1">
      <c r="A116" s="2">
        <v>111</v>
      </c>
      <c r="B116" s="3">
        <v>1</v>
      </c>
      <c r="C116" s="3"/>
      <c r="D116" s="3" t="s">
        <v>0</v>
      </c>
    </row>
    <row r="117" spans="1:4" ht="17.25" thickTop="1" thickBot="1">
      <c r="A117" s="2">
        <v>112</v>
      </c>
      <c r="B117" s="3">
        <v>1</v>
      </c>
      <c r="C117" s="3"/>
      <c r="D117" s="3" t="s">
        <v>2</v>
      </c>
    </row>
    <row r="118" spans="1:4" ht="17.25" thickTop="1" thickBot="1">
      <c r="A118" s="2">
        <v>113</v>
      </c>
      <c r="B118" s="3">
        <v>1</v>
      </c>
      <c r="C118" s="3"/>
      <c r="D118" s="3" t="s">
        <v>0</v>
      </c>
    </row>
    <row r="119" spans="1:4" ht="17.25" thickTop="1" thickBot="1">
      <c r="A119" s="2">
        <v>114</v>
      </c>
      <c r="B119" s="3">
        <v>1</v>
      </c>
      <c r="C119" s="3"/>
      <c r="D119" s="3" t="s">
        <v>1</v>
      </c>
    </row>
    <row r="120" spans="1:4" ht="17.25" thickTop="1" thickBot="1">
      <c r="A120" s="2">
        <v>115</v>
      </c>
      <c r="B120" s="3">
        <v>1</v>
      </c>
      <c r="C120" s="3"/>
      <c r="D120" s="3" t="s">
        <v>3</v>
      </c>
    </row>
    <row r="121" spans="1:4" ht="17.25" thickTop="1" thickBot="1">
      <c r="A121" s="2">
        <v>116</v>
      </c>
      <c r="B121" s="3">
        <v>1</v>
      </c>
      <c r="C121" s="3"/>
      <c r="D121" s="3" t="s">
        <v>3</v>
      </c>
    </row>
    <row r="122" spans="1:4" ht="17.25" thickTop="1" thickBot="1">
      <c r="A122" s="2">
        <v>117</v>
      </c>
      <c r="B122" s="3">
        <v>1</v>
      </c>
      <c r="C122" s="3"/>
      <c r="D122" s="3" t="s">
        <v>2</v>
      </c>
    </row>
    <row r="123" spans="1:4" ht="17.25" thickTop="1" thickBot="1">
      <c r="A123" s="2">
        <v>118</v>
      </c>
      <c r="B123" s="3">
        <v>1</v>
      </c>
      <c r="C123" s="3"/>
      <c r="D123" s="3" t="s">
        <v>3</v>
      </c>
    </row>
    <row r="124" spans="1:4" ht="17.25" thickTop="1" thickBot="1">
      <c r="A124" s="2">
        <v>119</v>
      </c>
      <c r="B124" s="3">
        <v>1</v>
      </c>
      <c r="C124" s="3"/>
      <c r="D124" s="3" t="s">
        <v>2</v>
      </c>
    </row>
    <row r="125" spans="1:4" ht="17.25" thickTop="1" thickBot="1">
      <c r="A125" s="2">
        <v>120</v>
      </c>
      <c r="B125" s="3">
        <v>1</v>
      </c>
      <c r="C125" s="3"/>
      <c r="D125" s="3" t="s">
        <v>0</v>
      </c>
    </row>
    <row r="126" spans="1:4" ht="17.25" thickTop="1" thickBot="1">
      <c r="A126" s="2">
        <v>121</v>
      </c>
      <c r="B126" s="3">
        <v>1</v>
      </c>
      <c r="C126" s="3"/>
      <c r="D126" s="3" t="s">
        <v>3</v>
      </c>
    </row>
    <row r="127" spans="1:4" ht="17.25" thickTop="1" thickBot="1">
      <c r="A127" s="2">
        <v>122</v>
      </c>
      <c r="B127" s="3">
        <v>1</v>
      </c>
      <c r="C127" s="3"/>
      <c r="D127" s="3" t="s">
        <v>0</v>
      </c>
    </row>
    <row r="128" spans="1:4" ht="17.25" thickTop="1" thickBot="1">
      <c r="A128" s="2">
        <v>123</v>
      </c>
      <c r="B128" s="3">
        <v>1</v>
      </c>
      <c r="C128" s="3"/>
      <c r="D128" s="3" t="s">
        <v>0</v>
      </c>
    </row>
    <row r="129" spans="1:4" ht="17.25" thickTop="1" thickBot="1">
      <c r="A129" s="2">
        <v>124</v>
      </c>
      <c r="B129" s="3">
        <v>1</v>
      </c>
      <c r="C129" s="3"/>
      <c r="D129" s="3" t="s">
        <v>1</v>
      </c>
    </row>
    <row r="130" spans="1:4" ht="17.25" thickTop="1" thickBot="1">
      <c r="A130" s="2">
        <v>125</v>
      </c>
      <c r="B130" s="3">
        <v>1</v>
      </c>
      <c r="C130" s="3"/>
      <c r="D130" s="3" t="s">
        <v>3</v>
      </c>
    </row>
    <row r="131" spans="1:4" ht="17.25" thickTop="1" thickBot="1">
      <c r="A131" s="2">
        <v>126</v>
      </c>
      <c r="B131" s="3">
        <v>1</v>
      </c>
      <c r="C131" s="3"/>
      <c r="D131" s="3" t="s">
        <v>0</v>
      </c>
    </row>
    <row r="132" spans="1:4" ht="17.25" thickTop="1" thickBot="1">
      <c r="A132" s="2">
        <v>127</v>
      </c>
      <c r="B132" s="3">
        <v>1</v>
      </c>
      <c r="C132" s="3"/>
      <c r="D132" s="3" t="s">
        <v>0</v>
      </c>
    </row>
    <row r="133" spans="1:4" ht="17.25" thickTop="1" thickBot="1">
      <c r="A133" s="2">
        <v>128</v>
      </c>
      <c r="B133" s="3">
        <v>1</v>
      </c>
      <c r="C133" s="3"/>
      <c r="D133" s="3" t="s">
        <v>2</v>
      </c>
    </row>
    <row r="134" spans="1:4" ht="17.25" thickTop="1" thickBot="1">
      <c r="A134" s="2">
        <v>129</v>
      </c>
      <c r="B134" s="3">
        <v>1</v>
      </c>
      <c r="C134" s="3"/>
      <c r="D134" s="3" t="s">
        <v>1</v>
      </c>
    </row>
    <row r="135" spans="1:4" ht="17.25" thickTop="1" thickBot="1">
      <c r="A135" s="2">
        <v>130</v>
      </c>
      <c r="B135" s="3">
        <v>1</v>
      </c>
      <c r="C135" s="3"/>
      <c r="D135" s="3" t="s">
        <v>1</v>
      </c>
    </row>
    <row r="136" spans="1:4" ht="17.25" thickTop="1" thickBot="1">
      <c r="A136" s="2">
        <v>131</v>
      </c>
      <c r="B136" s="3">
        <v>1</v>
      </c>
      <c r="C136" s="3"/>
      <c r="D136" s="3" t="s">
        <v>1</v>
      </c>
    </row>
    <row r="137" spans="1:4" ht="17.25" thickTop="1" thickBot="1">
      <c r="A137" s="2">
        <v>132</v>
      </c>
      <c r="B137" s="3">
        <v>1</v>
      </c>
      <c r="C137" s="3"/>
      <c r="D137" s="3" t="s">
        <v>1</v>
      </c>
    </row>
    <row r="138" spans="1:4" ht="17.25" thickTop="1" thickBot="1">
      <c r="A138" s="2">
        <v>133</v>
      </c>
      <c r="B138" s="3">
        <v>1</v>
      </c>
      <c r="C138" s="3"/>
      <c r="D138" s="3" t="s">
        <v>1</v>
      </c>
    </row>
    <row r="139" spans="1:4" ht="17.25" thickTop="1" thickBot="1">
      <c r="A139" s="2">
        <v>134</v>
      </c>
      <c r="B139" s="3">
        <v>1</v>
      </c>
      <c r="C139" s="3"/>
      <c r="D139" s="3" t="s">
        <v>2</v>
      </c>
    </row>
    <row r="140" spans="1:4" ht="17.25" thickTop="1" thickBot="1">
      <c r="A140" s="2">
        <v>135</v>
      </c>
      <c r="B140" s="3">
        <v>1</v>
      </c>
      <c r="C140" s="3"/>
      <c r="D140" s="3" t="s">
        <v>2</v>
      </c>
    </row>
    <row r="141" spans="1:4" ht="17.25" thickTop="1" thickBot="1">
      <c r="A141" s="2">
        <v>136</v>
      </c>
      <c r="B141" s="3">
        <v>1</v>
      </c>
      <c r="C141" s="3"/>
      <c r="D141" s="3" t="s">
        <v>2</v>
      </c>
    </row>
    <row r="142" spans="1:4" ht="17.25" thickTop="1" thickBot="1">
      <c r="A142" s="2">
        <v>137</v>
      </c>
      <c r="B142" s="3">
        <v>1</v>
      </c>
      <c r="C142" s="3"/>
      <c r="D142" s="3" t="s">
        <v>2</v>
      </c>
    </row>
    <row r="143" spans="1:4" ht="17.25" thickTop="1" thickBot="1">
      <c r="A143" s="2">
        <v>138</v>
      </c>
      <c r="B143" s="3">
        <v>1</v>
      </c>
      <c r="C143" s="3"/>
      <c r="D143" s="3" t="s">
        <v>2</v>
      </c>
    </row>
    <row r="144" spans="1:4" ht="17.25" thickTop="1" thickBot="1">
      <c r="A144" s="2">
        <v>139</v>
      </c>
      <c r="B144" s="3">
        <v>1</v>
      </c>
      <c r="C144" s="3"/>
      <c r="D144" s="3" t="s">
        <v>2</v>
      </c>
    </row>
    <row r="145" spans="1:4" ht="17.25" thickTop="1" thickBot="1">
      <c r="A145" s="2">
        <v>140</v>
      </c>
      <c r="B145" s="3">
        <v>1</v>
      </c>
      <c r="C145" s="3"/>
      <c r="D145" s="3" t="s">
        <v>2</v>
      </c>
    </row>
    <row r="146" spans="1:4" ht="17.25" thickTop="1" thickBot="1">
      <c r="A146" s="2">
        <v>141</v>
      </c>
      <c r="B146" s="3">
        <v>1</v>
      </c>
      <c r="C146" s="3"/>
      <c r="D146" s="3" t="s">
        <v>3</v>
      </c>
    </row>
    <row r="147" spans="1:4" ht="17.25" thickTop="1" thickBot="1">
      <c r="A147" s="2">
        <v>142</v>
      </c>
      <c r="B147" s="3">
        <v>1</v>
      </c>
      <c r="C147" s="3"/>
      <c r="D147" s="3" t="s">
        <v>3</v>
      </c>
    </row>
    <row r="148" spans="1:4" ht="17.25" thickTop="1" thickBot="1">
      <c r="A148" s="2">
        <v>143</v>
      </c>
      <c r="B148" s="3">
        <v>1</v>
      </c>
      <c r="C148" s="3"/>
      <c r="D148" s="3" t="s">
        <v>0</v>
      </c>
    </row>
    <row r="149" spans="1:4" ht="17.25" thickTop="1" thickBot="1">
      <c r="A149" s="2">
        <v>144</v>
      </c>
      <c r="B149" s="3">
        <v>1</v>
      </c>
      <c r="C149" s="3"/>
      <c r="D149" s="3" t="s">
        <v>3</v>
      </c>
    </row>
    <row r="150" spans="1:4" ht="17.25" thickTop="1" thickBot="1">
      <c r="A150" s="2">
        <v>145</v>
      </c>
      <c r="B150" s="3">
        <v>1</v>
      </c>
      <c r="C150" s="3"/>
      <c r="D150" s="3" t="s">
        <v>2</v>
      </c>
    </row>
    <row r="151" spans="1:4" ht="17.25" thickTop="1" thickBot="1">
      <c r="A151" s="2">
        <v>146</v>
      </c>
      <c r="B151" s="3">
        <v>1</v>
      </c>
      <c r="C151" s="3"/>
      <c r="D151" s="3" t="s">
        <v>2</v>
      </c>
    </row>
    <row r="152" spans="1:4" ht="17.25" thickTop="1" thickBot="1">
      <c r="A152" s="2">
        <v>147</v>
      </c>
      <c r="B152" s="3">
        <v>1</v>
      </c>
      <c r="C152" s="3"/>
      <c r="D152" s="3" t="s">
        <v>0</v>
      </c>
    </row>
    <row r="153" spans="1:4" ht="17.25" thickTop="1" thickBot="1">
      <c r="A153" s="2">
        <v>148</v>
      </c>
      <c r="B153" s="3">
        <v>1</v>
      </c>
      <c r="C153" s="3"/>
      <c r="D153" s="3" t="s">
        <v>3</v>
      </c>
    </row>
    <row r="154" spans="1:4" ht="17.25" thickTop="1" thickBot="1">
      <c r="A154" s="2">
        <v>149</v>
      </c>
      <c r="B154" s="3">
        <v>1</v>
      </c>
      <c r="C154" s="3"/>
      <c r="D154" s="3" t="s">
        <v>1</v>
      </c>
    </row>
    <row r="155" spans="1:4" ht="17.25" thickTop="1" thickBot="1">
      <c r="A155" s="2">
        <v>150</v>
      </c>
      <c r="B155" s="3">
        <v>1</v>
      </c>
      <c r="C155" s="3"/>
      <c r="D155" s="3" t="s">
        <v>0</v>
      </c>
    </row>
    <row r="156" spans="1:4" ht="17.25" hidden="1" thickTop="1" thickBot="1">
      <c r="A156" s="2">
        <v>151</v>
      </c>
      <c r="B156" s="3">
        <v>1</v>
      </c>
      <c r="C156" s="3"/>
      <c r="D156" s="3"/>
    </row>
    <row r="157" spans="1:4" ht="17.25" hidden="1" thickTop="1" thickBot="1">
      <c r="A157" s="2">
        <v>152</v>
      </c>
      <c r="B157" s="3">
        <v>1</v>
      </c>
      <c r="C157" s="3"/>
      <c r="D157" s="3"/>
    </row>
    <row r="158" spans="1:4" ht="17.25" hidden="1" thickTop="1" thickBot="1">
      <c r="A158" s="2">
        <v>153</v>
      </c>
      <c r="B158" s="3">
        <v>1</v>
      </c>
      <c r="C158" s="3"/>
      <c r="D158" s="3"/>
    </row>
    <row r="159" spans="1:4" ht="17.25" hidden="1" thickTop="1" thickBot="1">
      <c r="A159" s="2">
        <v>154</v>
      </c>
      <c r="B159" s="3">
        <v>1</v>
      </c>
      <c r="C159" s="3"/>
      <c r="D159" s="3"/>
    </row>
    <row r="160" spans="1:4" ht="17.25" hidden="1" thickTop="1" thickBot="1">
      <c r="A160" s="2">
        <v>155</v>
      </c>
      <c r="B160" s="3">
        <v>1</v>
      </c>
      <c r="C160" s="3"/>
      <c r="D160" s="3"/>
    </row>
    <row r="161" spans="1:4" ht="17.25" hidden="1" thickTop="1" thickBot="1">
      <c r="A161" s="2">
        <v>156</v>
      </c>
      <c r="B161" s="3">
        <v>1</v>
      </c>
      <c r="C161" s="3"/>
      <c r="D161" s="3"/>
    </row>
    <row r="162" spans="1:4" ht="17.25" hidden="1" thickTop="1" thickBot="1">
      <c r="A162" s="2">
        <v>157</v>
      </c>
      <c r="B162" s="3">
        <v>1</v>
      </c>
      <c r="C162" s="3"/>
      <c r="D162" s="3"/>
    </row>
    <row r="163" spans="1:4" ht="17.25" hidden="1" thickTop="1" thickBot="1">
      <c r="A163" s="2">
        <v>158</v>
      </c>
      <c r="B163" s="3">
        <v>1</v>
      </c>
      <c r="C163" s="3"/>
      <c r="D163" s="3"/>
    </row>
    <row r="164" spans="1:4" ht="15.75" thickTop="1"/>
  </sheetData>
  <sheetProtection selectLockedCells="1" selectUnlockedCells="1"/>
  <mergeCells count="1">
    <mergeCell ref="A1:E3"/>
  </mergeCells>
  <pageMargins left="7.874015748031496E-2" right="7.874015748031496E-2" top="7.874015748031496E-2" bottom="7.874015748031496E-2" header="0.31496062992125984" footer="0.31496062992125984"/>
  <pageSetup paperSize="9" scale="93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1"/>
  <sheetViews>
    <sheetView zoomScale="115" zoomScaleNormal="115" workbookViewId="0">
      <selection activeCell="E9" sqref="E9"/>
    </sheetView>
  </sheetViews>
  <sheetFormatPr defaultColWidth="8.85546875" defaultRowHeight="15"/>
  <cols>
    <col min="1" max="1" width="11.28515625" style="19" customWidth="1"/>
    <col min="2" max="2" width="10.85546875" style="19" customWidth="1"/>
    <col min="3" max="3" width="12.85546875" style="19" customWidth="1"/>
    <col min="4" max="4" width="9.7109375" style="19" customWidth="1"/>
    <col min="5" max="5" width="16.7109375" style="19" customWidth="1"/>
    <col min="6" max="6" width="8.85546875" style="19" hidden="1" customWidth="1"/>
    <col min="7" max="7" width="12.28515625" style="19" bestFit="1" customWidth="1"/>
    <col min="8" max="8" width="8.85546875" style="19"/>
    <col min="9" max="9" width="7" style="19" customWidth="1"/>
    <col min="10" max="16" width="8.85546875" style="19" customWidth="1"/>
    <col min="17" max="16384" width="8.85546875" style="19"/>
  </cols>
  <sheetData>
    <row r="1" spans="1:15" ht="15.75" thickBot="1"/>
    <row r="2" spans="1:15" ht="16.5" thickBot="1">
      <c r="A2" s="20" t="s">
        <v>7</v>
      </c>
      <c r="B2" s="20" t="s">
        <v>8</v>
      </c>
      <c r="C2" s="20" t="s">
        <v>29</v>
      </c>
      <c r="D2" s="20" t="s">
        <v>14</v>
      </c>
      <c r="E2" s="20" t="s">
        <v>30</v>
      </c>
      <c r="F2" s="21"/>
      <c r="G2" s="21" t="s">
        <v>9</v>
      </c>
      <c r="H2" s="67" t="s">
        <v>10</v>
      </c>
      <c r="I2" s="68"/>
      <c r="N2" s="22"/>
    </row>
    <row r="3" spans="1:15" ht="16.5" thickBot="1">
      <c r="A3" s="23" t="s">
        <v>510</v>
      </c>
      <c r="B3" s="24" t="s">
        <v>509</v>
      </c>
      <c r="C3" s="24" t="s">
        <v>508</v>
      </c>
      <c r="D3" s="24">
        <v>150</v>
      </c>
      <c r="E3" s="25">
        <v>2023</v>
      </c>
      <c r="F3" s="21"/>
      <c r="G3" s="26" t="s">
        <v>511</v>
      </c>
      <c r="H3" s="67" t="s">
        <v>25</v>
      </c>
      <c r="I3" s="68"/>
      <c r="N3" s="27"/>
    </row>
    <row r="4" spans="1:15" ht="21.75" thickTop="1" thickBot="1">
      <c r="A4" s="69"/>
      <c r="B4" s="42" t="s">
        <v>20</v>
      </c>
      <c r="C4" s="42"/>
      <c r="D4" s="42"/>
      <c r="E4" s="42"/>
      <c r="F4" s="42"/>
      <c r="G4" s="42"/>
      <c r="H4" s="71"/>
      <c r="I4" s="69"/>
      <c r="J4" s="28"/>
      <c r="K4" s="28"/>
      <c r="L4" s="28"/>
      <c r="M4" s="28"/>
      <c r="N4" s="28"/>
      <c r="O4" s="28"/>
    </row>
    <row r="5" spans="1:15" s="31" customFormat="1" ht="64.5" thickTop="1" thickBot="1">
      <c r="A5" s="70"/>
      <c r="B5" s="29" t="s">
        <v>4</v>
      </c>
      <c r="C5" s="29" t="s">
        <v>12</v>
      </c>
      <c r="D5" s="29" t="s">
        <v>18</v>
      </c>
      <c r="E5" s="29" t="s">
        <v>5</v>
      </c>
      <c r="F5" s="29" t="s">
        <v>6</v>
      </c>
      <c r="G5" s="30" t="s">
        <v>11</v>
      </c>
      <c r="H5" s="72"/>
      <c r="I5" s="70"/>
      <c r="J5" s="28"/>
      <c r="K5" s="28"/>
      <c r="L5" s="28"/>
      <c r="M5" s="28"/>
      <c r="N5" s="28"/>
      <c r="O5" s="28"/>
    </row>
    <row r="6" spans="1:15" ht="17.25" thickTop="1" thickBot="1">
      <c r="A6" s="70"/>
      <c r="B6" s="32">
        <v>1</v>
      </c>
      <c r="C6" s="33">
        <f>IF('After Exam Data Entry'!B6="", "", 'After Exam Data Entry'!B6)</f>
        <v>1</v>
      </c>
      <c r="D6" s="33">
        <f>IF(C6="", "", IF('After Exam Data Entry'!C6="", 0, 'After Exam Data Entry'!C6))</f>
        <v>0</v>
      </c>
      <c r="E6" s="33" t="str">
        <f>IF('MCQ TEST SHEET'!G7="", "", 'MCQ TEST SHEET'!G7)</f>
        <v/>
      </c>
      <c r="F6" s="33" t="str">
        <f>IF('After Exam Data Entry'!D6="", "", 'After Exam Data Entry'!D6)</f>
        <v>B</v>
      </c>
      <c r="G6" s="34" t="str">
        <f t="shared" ref="G6:G67" si="0">IF(F6="", "", IF(E6="", "", IF(E6=F6, C6, D6)))</f>
        <v/>
      </c>
      <c r="H6" s="72"/>
      <c r="I6" s="70"/>
    </row>
    <row r="7" spans="1:15" ht="17.25" thickTop="1" thickBot="1">
      <c r="A7" s="70"/>
      <c r="B7" s="32">
        <v>2</v>
      </c>
      <c r="C7" s="33">
        <f>IF('After Exam Data Entry'!B7="", "", 'After Exam Data Entry'!B7)</f>
        <v>1</v>
      </c>
      <c r="D7" s="33">
        <f>IF(C7="", "", IF('After Exam Data Entry'!C7="", 0, 'After Exam Data Entry'!C7))</f>
        <v>0</v>
      </c>
      <c r="E7" s="33" t="str">
        <f>IF('MCQ TEST SHEET'!G8="", "", 'MCQ TEST SHEET'!G8)</f>
        <v/>
      </c>
      <c r="F7" s="33" t="str">
        <f>IF('After Exam Data Entry'!D7="", "", 'After Exam Data Entry'!D7)</f>
        <v>C</v>
      </c>
      <c r="G7" s="34" t="str">
        <f t="shared" si="0"/>
        <v/>
      </c>
      <c r="H7" s="72"/>
      <c r="I7" s="70"/>
    </row>
    <row r="8" spans="1:15" ht="17.25" thickTop="1" thickBot="1">
      <c r="A8" s="70"/>
      <c r="B8" s="32">
        <v>3</v>
      </c>
      <c r="C8" s="33">
        <f>IF('After Exam Data Entry'!B8="", "", 'After Exam Data Entry'!B8)</f>
        <v>1</v>
      </c>
      <c r="D8" s="33">
        <f>IF(C8="", "", IF('After Exam Data Entry'!C8="", 0, 'After Exam Data Entry'!C8))</f>
        <v>0</v>
      </c>
      <c r="E8" s="33" t="str">
        <f>IF('MCQ TEST SHEET'!G9="", "", 'MCQ TEST SHEET'!G9)</f>
        <v/>
      </c>
      <c r="F8" s="33" t="str">
        <f>IF('After Exam Data Entry'!D8="", "", 'After Exam Data Entry'!D8)</f>
        <v>B</v>
      </c>
      <c r="G8" s="34" t="str">
        <f t="shared" si="0"/>
        <v/>
      </c>
      <c r="H8" s="72"/>
      <c r="I8" s="70"/>
    </row>
    <row r="9" spans="1:15" ht="17.25" thickTop="1" thickBot="1">
      <c r="A9" s="70"/>
      <c r="B9" s="32">
        <v>4</v>
      </c>
      <c r="C9" s="33">
        <f>IF('After Exam Data Entry'!B9="", "", 'After Exam Data Entry'!B9)</f>
        <v>1</v>
      </c>
      <c r="D9" s="33">
        <f>IF(C9="", "", IF('After Exam Data Entry'!C9="", 0, 'After Exam Data Entry'!C9))</f>
        <v>0</v>
      </c>
      <c r="E9" s="33" t="str">
        <f>IF('MCQ TEST SHEET'!G10="", "", 'MCQ TEST SHEET'!G10)</f>
        <v/>
      </c>
      <c r="F9" s="33" t="str">
        <f>IF('After Exam Data Entry'!D9="", "", 'After Exam Data Entry'!D9)</f>
        <v>D</v>
      </c>
      <c r="G9" s="34" t="str">
        <f t="shared" si="0"/>
        <v/>
      </c>
      <c r="H9" s="72"/>
      <c r="I9" s="70"/>
    </row>
    <row r="10" spans="1:15" ht="17.25" thickTop="1" thickBot="1">
      <c r="A10" s="70"/>
      <c r="B10" s="32">
        <v>5</v>
      </c>
      <c r="C10" s="33">
        <f>IF('After Exam Data Entry'!B10="", "", 'After Exam Data Entry'!B10)</f>
        <v>1</v>
      </c>
      <c r="D10" s="33">
        <f>IF(C10="", "", IF('After Exam Data Entry'!C10="", 0, 'After Exam Data Entry'!C10))</f>
        <v>0</v>
      </c>
      <c r="E10" s="33" t="str">
        <f>IF('MCQ TEST SHEET'!G11="", "", 'MCQ TEST SHEET'!G11)</f>
        <v/>
      </c>
      <c r="F10" s="33" t="str">
        <f>IF('After Exam Data Entry'!D10="", "", 'After Exam Data Entry'!D10)</f>
        <v>B</v>
      </c>
      <c r="G10" s="34" t="str">
        <f t="shared" si="0"/>
        <v/>
      </c>
      <c r="H10" s="72"/>
      <c r="I10" s="70"/>
    </row>
    <row r="11" spans="1:15" ht="17.25" thickTop="1" thickBot="1">
      <c r="A11" s="70"/>
      <c r="B11" s="32">
        <v>6</v>
      </c>
      <c r="C11" s="33">
        <f>IF('After Exam Data Entry'!B11="", "", 'After Exam Data Entry'!B11)</f>
        <v>1</v>
      </c>
      <c r="D11" s="33">
        <f>IF(C11="", "", IF('After Exam Data Entry'!C11="", 0, 'After Exam Data Entry'!C11))</f>
        <v>0</v>
      </c>
      <c r="E11" s="33" t="str">
        <f>IF('MCQ TEST SHEET'!G12="", "", 'MCQ TEST SHEET'!G12)</f>
        <v/>
      </c>
      <c r="F11" s="33" t="str">
        <f>IF('After Exam Data Entry'!D11="", "", 'After Exam Data Entry'!D11)</f>
        <v>B</v>
      </c>
      <c r="G11" s="34" t="str">
        <f t="shared" si="0"/>
        <v/>
      </c>
      <c r="H11" s="72"/>
      <c r="I11" s="70"/>
    </row>
    <row r="12" spans="1:15" ht="17.25" thickTop="1" thickBot="1">
      <c r="A12" s="70"/>
      <c r="B12" s="32">
        <v>7</v>
      </c>
      <c r="C12" s="33">
        <f>IF('After Exam Data Entry'!B12="", "", 'After Exam Data Entry'!B12)</f>
        <v>1</v>
      </c>
      <c r="D12" s="33">
        <f>IF(C12="", "", IF('After Exam Data Entry'!C12="", 0, 'After Exam Data Entry'!C12))</f>
        <v>0</v>
      </c>
      <c r="E12" s="33" t="str">
        <f>IF('MCQ TEST SHEET'!G13="", "", 'MCQ TEST SHEET'!G13)</f>
        <v/>
      </c>
      <c r="F12" s="33" t="str">
        <f>IF('After Exam Data Entry'!D12="", "", 'After Exam Data Entry'!D12)</f>
        <v>B</v>
      </c>
      <c r="G12" s="34" t="str">
        <f t="shared" si="0"/>
        <v/>
      </c>
      <c r="H12" s="72"/>
      <c r="I12" s="70"/>
    </row>
    <row r="13" spans="1:15" ht="17.25" thickTop="1" thickBot="1">
      <c r="A13" s="70"/>
      <c r="B13" s="32">
        <v>8</v>
      </c>
      <c r="C13" s="33">
        <f>IF('After Exam Data Entry'!B13="", "", 'After Exam Data Entry'!B13)</f>
        <v>1</v>
      </c>
      <c r="D13" s="33">
        <f>IF(C13="", "", IF('After Exam Data Entry'!C13="", 0, 'After Exam Data Entry'!C13))</f>
        <v>0</v>
      </c>
      <c r="E13" s="33" t="str">
        <f>IF('MCQ TEST SHEET'!G14="", "", 'MCQ TEST SHEET'!G14)</f>
        <v/>
      </c>
      <c r="F13" s="33" t="str">
        <f>IF('After Exam Data Entry'!D13="", "", 'After Exam Data Entry'!D13)</f>
        <v>D</v>
      </c>
      <c r="G13" s="34" t="str">
        <f t="shared" si="0"/>
        <v/>
      </c>
      <c r="H13" s="72"/>
      <c r="I13" s="70"/>
    </row>
    <row r="14" spans="1:15" ht="17.25" thickTop="1" thickBot="1">
      <c r="A14" s="70"/>
      <c r="B14" s="32">
        <v>9</v>
      </c>
      <c r="C14" s="33">
        <f>IF('After Exam Data Entry'!B14="", "", 'After Exam Data Entry'!B14)</f>
        <v>1</v>
      </c>
      <c r="D14" s="33">
        <f>IF(C14="", "", IF('After Exam Data Entry'!C14="", 0, 'After Exam Data Entry'!C14))</f>
        <v>0</v>
      </c>
      <c r="E14" s="33" t="str">
        <f>IF('MCQ TEST SHEET'!G15="", "", 'MCQ TEST SHEET'!G15)</f>
        <v/>
      </c>
      <c r="F14" s="33" t="str">
        <f>IF('After Exam Data Entry'!D14="", "", 'After Exam Data Entry'!D14)</f>
        <v>C</v>
      </c>
      <c r="G14" s="34" t="str">
        <f t="shared" si="0"/>
        <v/>
      </c>
      <c r="H14" s="72"/>
      <c r="I14" s="70"/>
    </row>
    <row r="15" spans="1:15" ht="17.25" thickTop="1" thickBot="1">
      <c r="A15" s="70"/>
      <c r="B15" s="32">
        <v>10</v>
      </c>
      <c r="C15" s="33">
        <f>IF('After Exam Data Entry'!B15="", "", 'After Exam Data Entry'!B15)</f>
        <v>1</v>
      </c>
      <c r="D15" s="33">
        <f>IF(C15="", "", IF('After Exam Data Entry'!C15="", 0, 'After Exam Data Entry'!C15))</f>
        <v>0</v>
      </c>
      <c r="E15" s="33" t="str">
        <f>IF('MCQ TEST SHEET'!G16="", "", 'MCQ TEST SHEET'!G16)</f>
        <v/>
      </c>
      <c r="F15" s="33" t="str">
        <f>IF('After Exam Data Entry'!D15="", "", 'After Exam Data Entry'!D15)</f>
        <v>B</v>
      </c>
      <c r="G15" s="34" t="str">
        <f t="shared" si="0"/>
        <v/>
      </c>
      <c r="H15" s="72"/>
      <c r="I15" s="70"/>
    </row>
    <row r="16" spans="1:15" ht="17.25" thickTop="1" thickBot="1">
      <c r="A16" s="70"/>
      <c r="B16" s="32">
        <v>11</v>
      </c>
      <c r="C16" s="33">
        <f>IF('After Exam Data Entry'!B16="", "", 'After Exam Data Entry'!B16)</f>
        <v>1</v>
      </c>
      <c r="D16" s="33">
        <f>IF(C16="", "", IF('After Exam Data Entry'!C16="", 0, 'After Exam Data Entry'!C16))</f>
        <v>0</v>
      </c>
      <c r="E16" s="33" t="str">
        <f>IF('MCQ TEST SHEET'!G17="", "", 'MCQ TEST SHEET'!G17)</f>
        <v/>
      </c>
      <c r="F16" s="33" t="str">
        <f>IF('After Exam Data Entry'!D16="", "", 'After Exam Data Entry'!D16)</f>
        <v>B</v>
      </c>
      <c r="G16" s="34" t="str">
        <f t="shared" si="0"/>
        <v/>
      </c>
      <c r="H16" s="72"/>
      <c r="I16" s="70"/>
    </row>
    <row r="17" spans="1:9" ht="17.25" thickTop="1" thickBot="1">
      <c r="A17" s="70"/>
      <c r="B17" s="32">
        <v>12</v>
      </c>
      <c r="C17" s="33">
        <f>IF('After Exam Data Entry'!B17="", "", 'After Exam Data Entry'!B17)</f>
        <v>1</v>
      </c>
      <c r="D17" s="33">
        <f>IF(C17="", "", IF('After Exam Data Entry'!C17="", 0, 'After Exam Data Entry'!C17))</f>
        <v>0</v>
      </c>
      <c r="E17" s="33" t="str">
        <f>IF('MCQ TEST SHEET'!G18="", "", 'MCQ TEST SHEET'!G18)</f>
        <v/>
      </c>
      <c r="F17" s="33" t="str">
        <f>IF('After Exam Data Entry'!D17="", "", 'After Exam Data Entry'!D17)</f>
        <v>B</v>
      </c>
      <c r="G17" s="34" t="str">
        <f t="shared" si="0"/>
        <v/>
      </c>
      <c r="H17" s="72"/>
      <c r="I17" s="70"/>
    </row>
    <row r="18" spans="1:9" ht="17.25" thickTop="1" thickBot="1">
      <c r="A18" s="70"/>
      <c r="B18" s="32">
        <v>13</v>
      </c>
      <c r="C18" s="33">
        <f>IF('After Exam Data Entry'!B18="", "", 'After Exam Data Entry'!B18)</f>
        <v>1</v>
      </c>
      <c r="D18" s="33">
        <f>IF(C18="", "", IF('After Exam Data Entry'!C18="", 0, 'After Exam Data Entry'!C18))</f>
        <v>0</v>
      </c>
      <c r="E18" s="33" t="str">
        <f>IF('MCQ TEST SHEET'!G19="", "", 'MCQ TEST SHEET'!G19)</f>
        <v/>
      </c>
      <c r="F18" s="33" t="str">
        <f>IF('After Exam Data Entry'!D18="", "", 'After Exam Data Entry'!D18)</f>
        <v>B</v>
      </c>
      <c r="G18" s="34" t="str">
        <f t="shared" si="0"/>
        <v/>
      </c>
      <c r="H18" s="72"/>
      <c r="I18" s="70"/>
    </row>
    <row r="19" spans="1:9" ht="17.25" thickTop="1" thickBot="1">
      <c r="A19" s="70"/>
      <c r="B19" s="32">
        <v>14</v>
      </c>
      <c r="C19" s="33">
        <f>IF('After Exam Data Entry'!B19="", "", 'After Exam Data Entry'!B19)</f>
        <v>1</v>
      </c>
      <c r="D19" s="33">
        <f>IF(C19="", "", IF('After Exam Data Entry'!C19="", 0, 'After Exam Data Entry'!C19))</f>
        <v>0</v>
      </c>
      <c r="E19" s="33" t="str">
        <f>IF('MCQ TEST SHEET'!G20="", "", 'MCQ TEST SHEET'!G20)</f>
        <v/>
      </c>
      <c r="F19" s="33" t="str">
        <f>IF('After Exam Data Entry'!D19="", "", 'After Exam Data Entry'!D19)</f>
        <v>D</v>
      </c>
      <c r="G19" s="34" t="str">
        <f t="shared" si="0"/>
        <v/>
      </c>
      <c r="H19" s="72"/>
      <c r="I19" s="70"/>
    </row>
    <row r="20" spans="1:9" ht="17.25" thickTop="1" thickBot="1">
      <c r="A20" s="70"/>
      <c r="B20" s="32">
        <v>15</v>
      </c>
      <c r="C20" s="33">
        <f>IF('After Exam Data Entry'!B20="", "", 'After Exam Data Entry'!B20)</f>
        <v>1</v>
      </c>
      <c r="D20" s="33">
        <f>IF(C20="", "", IF('After Exam Data Entry'!C20="", 0, 'After Exam Data Entry'!C20))</f>
        <v>0</v>
      </c>
      <c r="E20" s="33" t="str">
        <f>IF('MCQ TEST SHEET'!G21="", "", 'MCQ TEST SHEET'!G21)</f>
        <v/>
      </c>
      <c r="F20" s="33" t="str">
        <f>IF('After Exam Data Entry'!D20="", "", 'After Exam Data Entry'!D20)</f>
        <v>B</v>
      </c>
      <c r="G20" s="34" t="str">
        <f t="shared" si="0"/>
        <v/>
      </c>
      <c r="H20" s="72"/>
      <c r="I20" s="70"/>
    </row>
    <row r="21" spans="1:9" ht="17.25" thickTop="1" thickBot="1">
      <c r="A21" s="70"/>
      <c r="B21" s="32">
        <v>16</v>
      </c>
      <c r="C21" s="33">
        <f>IF('After Exam Data Entry'!B21="", "", 'After Exam Data Entry'!B21)</f>
        <v>1</v>
      </c>
      <c r="D21" s="33">
        <f>IF(C21="", "", IF('After Exam Data Entry'!C21="", 0, 'After Exam Data Entry'!C21))</f>
        <v>0</v>
      </c>
      <c r="E21" s="33" t="str">
        <f>IF('MCQ TEST SHEET'!G22="", "", 'MCQ TEST SHEET'!G22)</f>
        <v/>
      </c>
      <c r="F21" s="33" t="str">
        <f>IF('After Exam Data Entry'!D21="", "", 'After Exam Data Entry'!D21)</f>
        <v>D</v>
      </c>
      <c r="G21" s="34" t="str">
        <f t="shared" si="0"/>
        <v/>
      </c>
      <c r="H21" s="72"/>
      <c r="I21" s="70"/>
    </row>
    <row r="22" spans="1:9" ht="17.25" thickTop="1" thickBot="1">
      <c r="A22" s="70"/>
      <c r="B22" s="32">
        <v>17</v>
      </c>
      <c r="C22" s="33">
        <f>IF('After Exam Data Entry'!B22="", "", 'After Exam Data Entry'!B22)</f>
        <v>1</v>
      </c>
      <c r="D22" s="33">
        <f>IF(C22="", "", IF('After Exam Data Entry'!C22="", 0, 'After Exam Data Entry'!C22))</f>
        <v>0</v>
      </c>
      <c r="E22" s="33" t="str">
        <f>IF('MCQ TEST SHEET'!G23="", "", 'MCQ TEST SHEET'!G23)</f>
        <v/>
      </c>
      <c r="F22" s="33" t="str">
        <f>IF('After Exam Data Entry'!D22="", "", 'After Exam Data Entry'!D22)</f>
        <v>C</v>
      </c>
      <c r="G22" s="34" t="str">
        <f t="shared" si="0"/>
        <v/>
      </c>
      <c r="H22" s="72"/>
      <c r="I22" s="70"/>
    </row>
    <row r="23" spans="1:9" ht="17.25" thickTop="1" thickBot="1">
      <c r="A23" s="70"/>
      <c r="B23" s="32">
        <v>18</v>
      </c>
      <c r="C23" s="33">
        <f>IF('After Exam Data Entry'!B23="", "", 'After Exam Data Entry'!B23)</f>
        <v>1</v>
      </c>
      <c r="D23" s="33">
        <f>IF(C23="", "", IF('After Exam Data Entry'!C23="", 0, 'After Exam Data Entry'!C23))</f>
        <v>0</v>
      </c>
      <c r="E23" s="33" t="str">
        <f>IF('MCQ TEST SHEET'!G24="", "", 'MCQ TEST SHEET'!G24)</f>
        <v/>
      </c>
      <c r="F23" s="33" t="str">
        <f>IF('After Exam Data Entry'!D23="", "", 'After Exam Data Entry'!D23)</f>
        <v>B</v>
      </c>
      <c r="G23" s="34" t="str">
        <f t="shared" si="0"/>
        <v/>
      </c>
      <c r="H23" s="72"/>
      <c r="I23" s="70"/>
    </row>
    <row r="24" spans="1:9" ht="17.25" thickTop="1" thickBot="1">
      <c r="A24" s="70"/>
      <c r="B24" s="32">
        <v>19</v>
      </c>
      <c r="C24" s="33">
        <f>IF('After Exam Data Entry'!B24="", "", 'After Exam Data Entry'!B24)</f>
        <v>1</v>
      </c>
      <c r="D24" s="33">
        <f>IF(C24="", "", IF('After Exam Data Entry'!C24="", 0, 'After Exam Data Entry'!C24))</f>
        <v>0</v>
      </c>
      <c r="E24" s="33" t="str">
        <f>IF('MCQ TEST SHEET'!G25="", "", 'MCQ TEST SHEET'!G25)</f>
        <v/>
      </c>
      <c r="F24" s="33" t="str">
        <f>IF('After Exam Data Entry'!D24="", "", 'After Exam Data Entry'!D24)</f>
        <v>A</v>
      </c>
      <c r="G24" s="34" t="str">
        <f t="shared" si="0"/>
        <v/>
      </c>
      <c r="H24" s="72"/>
      <c r="I24" s="70"/>
    </row>
    <row r="25" spans="1:9" ht="17.25" thickTop="1" thickBot="1">
      <c r="A25" s="70"/>
      <c r="B25" s="32">
        <v>20</v>
      </c>
      <c r="C25" s="33">
        <f>IF('After Exam Data Entry'!B25="", "", 'After Exam Data Entry'!B25)</f>
        <v>1</v>
      </c>
      <c r="D25" s="33">
        <f>IF(C25="", "", IF('After Exam Data Entry'!C25="", 0, 'After Exam Data Entry'!C25))</f>
        <v>0</v>
      </c>
      <c r="E25" s="33" t="str">
        <f>IF('MCQ TEST SHEET'!G26="", "", 'MCQ TEST SHEET'!G26)</f>
        <v/>
      </c>
      <c r="F25" s="33" t="str">
        <f>IF('After Exam Data Entry'!D25="", "", 'After Exam Data Entry'!D25)</f>
        <v>D</v>
      </c>
      <c r="G25" s="34" t="str">
        <f t="shared" si="0"/>
        <v/>
      </c>
      <c r="H25" s="72"/>
      <c r="I25" s="70"/>
    </row>
    <row r="26" spans="1:9" ht="17.25" thickTop="1" thickBot="1">
      <c r="A26" s="70"/>
      <c r="B26" s="32">
        <v>21</v>
      </c>
      <c r="C26" s="33">
        <f>IF('After Exam Data Entry'!B26="", "", 'After Exam Data Entry'!B26)</f>
        <v>1</v>
      </c>
      <c r="D26" s="33">
        <f>IF(C26="", "", IF('After Exam Data Entry'!C26="", 0, 'After Exam Data Entry'!C26))</f>
        <v>0</v>
      </c>
      <c r="E26" s="33" t="str">
        <f>IF('MCQ TEST SHEET'!G27="", "", 'MCQ TEST SHEET'!G27)</f>
        <v/>
      </c>
      <c r="F26" s="33" t="str">
        <f>IF('After Exam Data Entry'!D26="", "", 'After Exam Data Entry'!D26)</f>
        <v>C</v>
      </c>
      <c r="G26" s="34" t="str">
        <f t="shared" si="0"/>
        <v/>
      </c>
      <c r="H26" s="72"/>
      <c r="I26" s="70"/>
    </row>
    <row r="27" spans="1:9" ht="17.25" thickTop="1" thickBot="1">
      <c r="A27" s="70"/>
      <c r="B27" s="32">
        <v>22</v>
      </c>
      <c r="C27" s="33">
        <f>IF('After Exam Data Entry'!B27="", "", 'After Exam Data Entry'!B27)</f>
        <v>1</v>
      </c>
      <c r="D27" s="33">
        <f>IF(C27="", "", IF('After Exam Data Entry'!C27="", 0, 'After Exam Data Entry'!C27))</f>
        <v>0</v>
      </c>
      <c r="E27" s="33" t="str">
        <f>IF('MCQ TEST SHEET'!G28="", "", 'MCQ TEST SHEET'!G28)</f>
        <v/>
      </c>
      <c r="F27" s="33" t="str">
        <f>IF('After Exam Data Entry'!D27="", "", 'After Exam Data Entry'!D27)</f>
        <v>C</v>
      </c>
      <c r="G27" s="34" t="str">
        <f t="shared" si="0"/>
        <v/>
      </c>
      <c r="H27" s="72"/>
      <c r="I27" s="70"/>
    </row>
    <row r="28" spans="1:9" ht="17.25" thickTop="1" thickBot="1">
      <c r="A28" s="70"/>
      <c r="B28" s="32">
        <v>23</v>
      </c>
      <c r="C28" s="33">
        <f>IF('After Exam Data Entry'!B28="", "", 'After Exam Data Entry'!B28)</f>
        <v>1</v>
      </c>
      <c r="D28" s="33">
        <f>IF(C28="", "", IF('After Exam Data Entry'!C28="", 0, 'After Exam Data Entry'!C28))</f>
        <v>0</v>
      </c>
      <c r="E28" s="33" t="str">
        <f>IF('MCQ TEST SHEET'!G29="", "", 'MCQ TEST SHEET'!G29)</f>
        <v/>
      </c>
      <c r="F28" s="33" t="str">
        <f>IF('After Exam Data Entry'!D28="", "", 'After Exam Data Entry'!D28)</f>
        <v>A</v>
      </c>
      <c r="G28" s="34" t="str">
        <f t="shared" si="0"/>
        <v/>
      </c>
      <c r="H28" s="72"/>
      <c r="I28" s="70"/>
    </row>
    <row r="29" spans="1:9" ht="17.25" thickTop="1" thickBot="1">
      <c r="A29" s="70"/>
      <c r="B29" s="32">
        <v>24</v>
      </c>
      <c r="C29" s="33">
        <f>IF('After Exam Data Entry'!B29="", "", 'After Exam Data Entry'!B29)</f>
        <v>1</v>
      </c>
      <c r="D29" s="33">
        <f>IF(C29="", "", IF('After Exam Data Entry'!C29="", 0, 'After Exam Data Entry'!C29))</f>
        <v>0</v>
      </c>
      <c r="E29" s="33" t="str">
        <f>IF('MCQ TEST SHEET'!G30="", "", 'MCQ TEST SHEET'!G30)</f>
        <v/>
      </c>
      <c r="F29" s="33" t="str">
        <f>IF('After Exam Data Entry'!D29="", "", 'After Exam Data Entry'!D29)</f>
        <v>B</v>
      </c>
      <c r="G29" s="34" t="str">
        <f t="shared" si="0"/>
        <v/>
      </c>
      <c r="H29" s="72"/>
      <c r="I29" s="70"/>
    </row>
    <row r="30" spans="1:9" ht="17.25" thickTop="1" thickBot="1">
      <c r="A30" s="70"/>
      <c r="B30" s="32">
        <v>25</v>
      </c>
      <c r="C30" s="33">
        <f>IF('After Exam Data Entry'!B30="", "", 'After Exam Data Entry'!B30)</f>
        <v>1</v>
      </c>
      <c r="D30" s="33">
        <f>IF(C30="", "", IF('After Exam Data Entry'!C30="", 0, 'After Exam Data Entry'!C30))</f>
        <v>0</v>
      </c>
      <c r="E30" s="33" t="str">
        <f>IF('MCQ TEST SHEET'!G31="", "", 'MCQ TEST SHEET'!G31)</f>
        <v/>
      </c>
      <c r="F30" s="33" t="str">
        <f>IF('After Exam Data Entry'!D30="", "", 'After Exam Data Entry'!D30)</f>
        <v>D</v>
      </c>
      <c r="G30" s="34" t="str">
        <f t="shared" si="0"/>
        <v/>
      </c>
      <c r="H30" s="72"/>
      <c r="I30" s="70"/>
    </row>
    <row r="31" spans="1:9" ht="17.25" thickTop="1" thickBot="1">
      <c r="A31" s="70"/>
      <c r="B31" s="32">
        <v>26</v>
      </c>
      <c r="C31" s="33">
        <f>IF('After Exam Data Entry'!B31="", "", 'After Exam Data Entry'!B31)</f>
        <v>1</v>
      </c>
      <c r="D31" s="33">
        <f>IF(C31="", "", IF('After Exam Data Entry'!C31="", 0, 'After Exam Data Entry'!C31))</f>
        <v>0</v>
      </c>
      <c r="E31" s="33" t="str">
        <f>IF('MCQ TEST SHEET'!G32="", "", 'MCQ TEST SHEET'!G32)</f>
        <v/>
      </c>
      <c r="F31" s="33" t="str">
        <f>IF('After Exam Data Entry'!D31="", "", 'After Exam Data Entry'!D31)</f>
        <v>C</v>
      </c>
      <c r="G31" s="34" t="str">
        <f t="shared" si="0"/>
        <v/>
      </c>
      <c r="H31" s="72"/>
      <c r="I31" s="70"/>
    </row>
    <row r="32" spans="1:9" ht="17.25" thickTop="1" thickBot="1">
      <c r="A32" s="70"/>
      <c r="B32" s="32">
        <v>27</v>
      </c>
      <c r="C32" s="33">
        <f>IF('After Exam Data Entry'!B32="", "", 'After Exam Data Entry'!B32)</f>
        <v>1</v>
      </c>
      <c r="D32" s="33">
        <f>IF(C32="", "", IF('After Exam Data Entry'!C32="", 0, 'After Exam Data Entry'!C32))</f>
        <v>0</v>
      </c>
      <c r="E32" s="33" t="str">
        <f>IF('MCQ TEST SHEET'!G33="", "", 'MCQ TEST SHEET'!G33)</f>
        <v/>
      </c>
      <c r="F32" s="33" t="str">
        <f>IF('After Exam Data Entry'!D32="", "", 'After Exam Data Entry'!D32)</f>
        <v>C</v>
      </c>
      <c r="G32" s="34" t="str">
        <f t="shared" si="0"/>
        <v/>
      </c>
      <c r="H32" s="72"/>
      <c r="I32" s="70"/>
    </row>
    <row r="33" spans="1:9" ht="17.25" thickTop="1" thickBot="1">
      <c r="A33" s="70"/>
      <c r="B33" s="32">
        <v>28</v>
      </c>
      <c r="C33" s="33">
        <f>IF('After Exam Data Entry'!B33="", "", 'After Exam Data Entry'!B33)</f>
        <v>1</v>
      </c>
      <c r="D33" s="33">
        <f>IF(C33="", "", IF('After Exam Data Entry'!C33="", 0, 'After Exam Data Entry'!C33))</f>
        <v>0</v>
      </c>
      <c r="E33" s="33" t="str">
        <f>IF('MCQ TEST SHEET'!G34="", "", 'MCQ TEST SHEET'!G34)</f>
        <v/>
      </c>
      <c r="F33" s="33" t="str">
        <f>IF('After Exam Data Entry'!D33="", "", 'After Exam Data Entry'!D33)</f>
        <v>D</v>
      </c>
      <c r="G33" s="34" t="str">
        <f t="shared" si="0"/>
        <v/>
      </c>
      <c r="H33" s="72"/>
      <c r="I33" s="70"/>
    </row>
    <row r="34" spans="1:9" ht="17.25" thickTop="1" thickBot="1">
      <c r="A34" s="70"/>
      <c r="B34" s="32">
        <v>29</v>
      </c>
      <c r="C34" s="33">
        <f>IF('After Exam Data Entry'!B34="", "", 'After Exam Data Entry'!B34)</f>
        <v>1</v>
      </c>
      <c r="D34" s="33">
        <f>IF(C34="", "", IF('After Exam Data Entry'!C34="", 0, 'After Exam Data Entry'!C34))</f>
        <v>0</v>
      </c>
      <c r="E34" s="33" t="str">
        <f>IF('MCQ TEST SHEET'!G35="", "", 'MCQ TEST SHEET'!G35)</f>
        <v/>
      </c>
      <c r="F34" s="33" t="str">
        <f>IF('After Exam Data Entry'!D34="", "", 'After Exam Data Entry'!D34)</f>
        <v>C</v>
      </c>
      <c r="G34" s="34" t="str">
        <f t="shared" si="0"/>
        <v/>
      </c>
      <c r="H34" s="72"/>
      <c r="I34" s="70"/>
    </row>
    <row r="35" spans="1:9" ht="17.25" thickTop="1" thickBot="1">
      <c r="A35" s="70"/>
      <c r="B35" s="32">
        <v>30</v>
      </c>
      <c r="C35" s="33">
        <f>IF('After Exam Data Entry'!B35="", "", 'After Exam Data Entry'!B35)</f>
        <v>1</v>
      </c>
      <c r="D35" s="33">
        <f>IF(C35="", "", IF('After Exam Data Entry'!C35="", 0, 'After Exam Data Entry'!C35))</f>
        <v>0</v>
      </c>
      <c r="E35" s="33" t="str">
        <f>IF('MCQ TEST SHEET'!G36="", "", 'MCQ TEST SHEET'!G36)</f>
        <v/>
      </c>
      <c r="F35" s="33" t="str">
        <f>IF('After Exam Data Entry'!D35="", "", 'After Exam Data Entry'!D35)</f>
        <v>B</v>
      </c>
      <c r="G35" s="34" t="str">
        <f t="shared" si="0"/>
        <v/>
      </c>
      <c r="H35" s="72"/>
      <c r="I35" s="70"/>
    </row>
    <row r="36" spans="1:9" ht="17.25" thickTop="1" thickBot="1">
      <c r="A36" s="70"/>
      <c r="B36" s="32">
        <v>31</v>
      </c>
      <c r="C36" s="33">
        <f>IF('After Exam Data Entry'!B36="", "", 'After Exam Data Entry'!B36)</f>
        <v>1</v>
      </c>
      <c r="D36" s="33">
        <f>IF(C36="", "", IF('After Exam Data Entry'!C36="", 0, 'After Exam Data Entry'!C36))</f>
        <v>0</v>
      </c>
      <c r="E36" s="33" t="str">
        <f>IF('MCQ TEST SHEET'!G37="", "", 'MCQ TEST SHEET'!G37)</f>
        <v/>
      </c>
      <c r="F36" s="33" t="str">
        <f>IF('After Exam Data Entry'!D36="", "", 'After Exam Data Entry'!D36)</f>
        <v>B</v>
      </c>
      <c r="G36" s="34" t="str">
        <f t="shared" si="0"/>
        <v/>
      </c>
      <c r="H36" s="72"/>
      <c r="I36" s="70"/>
    </row>
    <row r="37" spans="1:9" ht="17.25" thickTop="1" thickBot="1">
      <c r="A37" s="70"/>
      <c r="B37" s="32">
        <v>32</v>
      </c>
      <c r="C37" s="33">
        <f>IF('After Exam Data Entry'!B37="", "", 'After Exam Data Entry'!B37)</f>
        <v>1</v>
      </c>
      <c r="D37" s="33">
        <f>IF(C37="", "", IF('After Exam Data Entry'!C37="", 0, 'After Exam Data Entry'!C37))</f>
        <v>0</v>
      </c>
      <c r="E37" s="33" t="str">
        <f>IF('MCQ TEST SHEET'!G38="", "", 'MCQ TEST SHEET'!G38)</f>
        <v/>
      </c>
      <c r="F37" s="33" t="str">
        <f>IF('After Exam Data Entry'!D37="", "", 'After Exam Data Entry'!D37)</f>
        <v>D</v>
      </c>
      <c r="G37" s="34" t="str">
        <f t="shared" si="0"/>
        <v/>
      </c>
      <c r="H37" s="72"/>
      <c r="I37" s="70"/>
    </row>
    <row r="38" spans="1:9" ht="17.25" thickTop="1" thickBot="1">
      <c r="A38" s="70"/>
      <c r="B38" s="32">
        <v>33</v>
      </c>
      <c r="C38" s="33">
        <f>IF('After Exam Data Entry'!B38="", "", 'After Exam Data Entry'!B38)</f>
        <v>1</v>
      </c>
      <c r="D38" s="33">
        <f>IF(C38="", "", IF('After Exam Data Entry'!C38="", 0, 'After Exam Data Entry'!C38))</f>
        <v>0</v>
      </c>
      <c r="E38" s="33" t="str">
        <f>IF('MCQ TEST SHEET'!G39="", "", 'MCQ TEST SHEET'!G39)</f>
        <v/>
      </c>
      <c r="F38" s="33" t="str">
        <f>IF('After Exam Data Entry'!D38="", "", 'After Exam Data Entry'!D38)</f>
        <v>B</v>
      </c>
      <c r="G38" s="34" t="str">
        <f t="shared" si="0"/>
        <v/>
      </c>
      <c r="H38" s="72"/>
      <c r="I38" s="70"/>
    </row>
    <row r="39" spans="1:9" ht="17.25" thickTop="1" thickBot="1">
      <c r="A39" s="70"/>
      <c r="B39" s="32">
        <v>34</v>
      </c>
      <c r="C39" s="33">
        <f>IF('After Exam Data Entry'!B39="", "", 'After Exam Data Entry'!B39)</f>
        <v>1</v>
      </c>
      <c r="D39" s="33">
        <f>IF(C39="", "", IF('After Exam Data Entry'!C39="", 0, 'After Exam Data Entry'!C39))</f>
        <v>0</v>
      </c>
      <c r="E39" s="33" t="str">
        <f>IF('MCQ TEST SHEET'!G40="", "", 'MCQ TEST SHEET'!G40)</f>
        <v/>
      </c>
      <c r="F39" s="33" t="str">
        <f>IF('After Exam Data Entry'!D39="", "", 'After Exam Data Entry'!D39)</f>
        <v>D</v>
      </c>
      <c r="G39" s="34" t="str">
        <f t="shared" si="0"/>
        <v/>
      </c>
      <c r="H39" s="72"/>
      <c r="I39" s="70"/>
    </row>
    <row r="40" spans="1:9" ht="17.25" thickTop="1" thickBot="1">
      <c r="A40" s="70"/>
      <c r="B40" s="32">
        <v>35</v>
      </c>
      <c r="C40" s="33">
        <f>IF('After Exam Data Entry'!B40="", "", 'After Exam Data Entry'!B40)</f>
        <v>1</v>
      </c>
      <c r="D40" s="33">
        <f>IF(C40="", "", IF('After Exam Data Entry'!C40="", 0, 'After Exam Data Entry'!C40))</f>
        <v>0</v>
      </c>
      <c r="E40" s="33" t="str">
        <f>IF('MCQ TEST SHEET'!G41="", "", 'MCQ TEST SHEET'!G41)</f>
        <v/>
      </c>
      <c r="F40" s="33" t="str">
        <f>IF('After Exam Data Entry'!D40="", "", 'After Exam Data Entry'!D40)</f>
        <v>C</v>
      </c>
      <c r="G40" s="34" t="str">
        <f t="shared" si="0"/>
        <v/>
      </c>
      <c r="H40" s="72"/>
      <c r="I40" s="70"/>
    </row>
    <row r="41" spans="1:9" ht="17.25" thickTop="1" thickBot="1">
      <c r="A41" s="70"/>
      <c r="B41" s="32">
        <v>36</v>
      </c>
      <c r="C41" s="33">
        <f>IF('After Exam Data Entry'!B41="", "", 'After Exam Data Entry'!B41)</f>
        <v>1</v>
      </c>
      <c r="D41" s="33">
        <f>IF(C41="", "", IF('After Exam Data Entry'!C41="", 0, 'After Exam Data Entry'!C41))</f>
        <v>0</v>
      </c>
      <c r="E41" s="33" t="str">
        <f>IF('MCQ TEST SHEET'!G42="", "", 'MCQ TEST SHEET'!G42)</f>
        <v/>
      </c>
      <c r="F41" s="33" t="str">
        <f>IF('After Exam Data Entry'!D41="", "", 'After Exam Data Entry'!D41)</f>
        <v>A</v>
      </c>
      <c r="G41" s="34" t="str">
        <f t="shared" si="0"/>
        <v/>
      </c>
      <c r="H41" s="72"/>
      <c r="I41" s="70"/>
    </row>
    <row r="42" spans="1:9" ht="17.25" thickTop="1" thickBot="1">
      <c r="A42" s="70"/>
      <c r="B42" s="32">
        <v>37</v>
      </c>
      <c r="C42" s="33">
        <f>IF('After Exam Data Entry'!B42="", "", 'After Exam Data Entry'!B42)</f>
        <v>1</v>
      </c>
      <c r="D42" s="33">
        <f>IF(C42="", "", IF('After Exam Data Entry'!C42="", 0, 'After Exam Data Entry'!C42))</f>
        <v>0</v>
      </c>
      <c r="E42" s="33" t="str">
        <f>IF('MCQ TEST SHEET'!G43="", "", 'MCQ TEST SHEET'!G43)</f>
        <v/>
      </c>
      <c r="F42" s="33" t="str">
        <f>IF('After Exam Data Entry'!D42="", "", 'After Exam Data Entry'!D42)</f>
        <v>D</v>
      </c>
      <c r="G42" s="34" t="str">
        <f t="shared" si="0"/>
        <v/>
      </c>
      <c r="H42" s="72"/>
      <c r="I42" s="70"/>
    </row>
    <row r="43" spans="1:9" ht="17.25" thickTop="1" thickBot="1">
      <c r="A43" s="70"/>
      <c r="B43" s="32">
        <v>38</v>
      </c>
      <c r="C43" s="33">
        <f>IF('After Exam Data Entry'!B43="", "", 'After Exam Data Entry'!B43)</f>
        <v>1</v>
      </c>
      <c r="D43" s="33">
        <f>IF(C43="", "", IF('After Exam Data Entry'!C43="", 0, 'After Exam Data Entry'!C43))</f>
        <v>0</v>
      </c>
      <c r="E43" s="33" t="str">
        <f>IF('MCQ TEST SHEET'!G44="", "", 'MCQ TEST SHEET'!G44)</f>
        <v/>
      </c>
      <c r="F43" s="33" t="str">
        <f>IF('After Exam Data Entry'!D43="", "", 'After Exam Data Entry'!D43)</f>
        <v>B</v>
      </c>
      <c r="G43" s="34" t="str">
        <f t="shared" si="0"/>
        <v/>
      </c>
      <c r="H43" s="72"/>
      <c r="I43" s="70"/>
    </row>
    <row r="44" spans="1:9" ht="17.25" thickTop="1" thickBot="1">
      <c r="A44" s="70"/>
      <c r="B44" s="32">
        <v>39</v>
      </c>
      <c r="C44" s="33">
        <f>IF('After Exam Data Entry'!B44="", "", 'After Exam Data Entry'!B44)</f>
        <v>1</v>
      </c>
      <c r="D44" s="33">
        <f>IF(C44="", "", IF('After Exam Data Entry'!C44="", 0, 'After Exam Data Entry'!C44))</f>
        <v>0</v>
      </c>
      <c r="E44" s="33" t="str">
        <f>IF('MCQ TEST SHEET'!G45="", "", 'MCQ TEST SHEET'!G45)</f>
        <v/>
      </c>
      <c r="F44" s="33" t="str">
        <f>IF('After Exam Data Entry'!D44="", "", 'After Exam Data Entry'!D44)</f>
        <v>A</v>
      </c>
      <c r="G44" s="34" t="str">
        <f t="shared" si="0"/>
        <v/>
      </c>
      <c r="H44" s="72"/>
      <c r="I44" s="70"/>
    </row>
    <row r="45" spans="1:9" ht="17.25" thickTop="1" thickBot="1">
      <c r="A45" s="70"/>
      <c r="B45" s="32">
        <v>40</v>
      </c>
      <c r="C45" s="33">
        <f>IF('After Exam Data Entry'!B45="", "", 'After Exam Data Entry'!B45)</f>
        <v>1</v>
      </c>
      <c r="D45" s="33">
        <f>IF(C45="", "", IF('After Exam Data Entry'!C45="", 0, 'After Exam Data Entry'!C45))</f>
        <v>0</v>
      </c>
      <c r="E45" s="33" t="str">
        <f>IF('MCQ TEST SHEET'!G46="", "", 'MCQ TEST SHEET'!G46)</f>
        <v/>
      </c>
      <c r="F45" s="33" t="str">
        <f>IF('After Exam Data Entry'!D45="", "", 'After Exam Data Entry'!D45)</f>
        <v>C</v>
      </c>
      <c r="G45" s="34" t="str">
        <f t="shared" si="0"/>
        <v/>
      </c>
      <c r="H45" s="72"/>
      <c r="I45" s="70"/>
    </row>
    <row r="46" spans="1:9" ht="17.25" thickTop="1" thickBot="1">
      <c r="A46" s="70"/>
      <c r="B46" s="32">
        <v>41</v>
      </c>
      <c r="C46" s="33">
        <f>IF('After Exam Data Entry'!B46="", "", 'After Exam Data Entry'!B46)</f>
        <v>1</v>
      </c>
      <c r="D46" s="33">
        <f>IF(C46="", "", IF('After Exam Data Entry'!C46="", 0, 'After Exam Data Entry'!C46))</f>
        <v>0</v>
      </c>
      <c r="E46" s="33" t="str">
        <f>IF('MCQ TEST SHEET'!G47="", "", 'MCQ TEST SHEET'!G47)</f>
        <v/>
      </c>
      <c r="F46" s="33" t="str">
        <f>IF('After Exam Data Entry'!D46="", "", 'After Exam Data Entry'!D46)</f>
        <v>A</v>
      </c>
      <c r="G46" s="34" t="str">
        <f t="shared" si="0"/>
        <v/>
      </c>
      <c r="H46" s="72"/>
      <c r="I46" s="70"/>
    </row>
    <row r="47" spans="1:9" ht="17.25" thickTop="1" thickBot="1">
      <c r="A47" s="70"/>
      <c r="B47" s="32">
        <v>42</v>
      </c>
      <c r="C47" s="33">
        <f>IF('After Exam Data Entry'!B47="", "", 'After Exam Data Entry'!B47)</f>
        <v>1</v>
      </c>
      <c r="D47" s="33">
        <f>IF(C47="", "", IF('After Exam Data Entry'!C47="", 0, 'After Exam Data Entry'!C47))</f>
        <v>0</v>
      </c>
      <c r="E47" s="33" t="str">
        <f>IF('MCQ TEST SHEET'!G48="", "", 'MCQ TEST SHEET'!G48)</f>
        <v/>
      </c>
      <c r="F47" s="33" t="str">
        <f>IF('After Exam Data Entry'!D47="", "", 'After Exam Data Entry'!D47)</f>
        <v>B</v>
      </c>
      <c r="G47" s="34" t="str">
        <f t="shared" si="0"/>
        <v/>
      </c>
      <c r="H47" s="72"/>
      <c r="I47" s="70"/>
    </row>
    <row r="48" spans="1:9" ht="17.25" thickTop="1" thickBot="1">
      <c r="A48" s="70"/>
      <c r="B48" s="32">
        <v>43</v>
      </c>
      <c r="C48" s="33">
        <f>IF('After Exam Data Entry'!B48="", "", 'After Exam Data Entry'!B48)</f>
        <v>1</v>
      </c>
      <c r="D48" s="33">
        <f>IF(C48="", "", IF('After Exam Data Entry'!C48="", 0, 'After Exam Data Entry'!C48))</f>
        <v>0</v>
      </c>
      <c r="E48" s="33" t="str">
        <f>IF('MCQ TEST SHEET'!G49="", "", 'MCQ TEST SHEET'!G49)</f>
        <v/>
      </c>
      <c r="F48" s="33" t="str">
        <f>IF('After Exam Data Entry'!D48="", "", 'After Exam Data Entry'!D48)</f>
        <v>B</v>
      </c>
      <c r="G48" s="34" t="str">
        <f t="shared" si="0"/>
        <v/>
      </c>
      <c r="H48" s="72"/>
      <c r="I48" s="70"/>
    </row>
    <row r="49" spans="1:9" ht="17.25" thickTop="1" thickBot="1">
      <c r="A49" s="70"/>
      <c r="B49" s="32">
        <v>44</v>
      </c>
      <c r="C49" s="33">
        <f>IF('After Exam Data Entry'!B49="", "", 'After Exam Data Entry'!B49)</f>
        <v>1</v>
      </c>
      <c r="D49" s="33">
        <f>IF(C49="", "", IF('After Exam Data Entry'!C49="", 0, 'After Exam Data Entry'!C49))</f>
        <v>0</v>
      </c>
      <c r="E49" s="33" t="str">
        <f>IF('MCQ TEST SHEET'!G50="", "", 'MCQ TEST SHEET'!G50)</f>
        <v/>
      </c>
      <c r="F49" s="33" t="str">
        <f>IF('After Exam Data Entry'!D49="", "", 'After Exam Data Entry'!D49)</f>
        <v>C</v>
      </c>
      <c r="G49" s="34" t="str">
        <f t="shared" si="0"/>
        <v/>
      </c>
      <c r="H49" s="72"/>
      <c r="I49" s="70"/>
    </row>
    <row r="50" spans="1:9" ht="17.25" thickTop="1" thickBot="1">
      <c r="A50" s="70"/>
      <c r="B50" s="32">
        <v>45</v>
      </c>
      <c r="C50" s="33">
        <f>IF('After Exam Data Entry'!B50="", "", 'After Exam Data Entry'!B50)</f>
        <v>1</v>
      </c>
      <c r="D50" s="33">
        <f>IF(C50="", "", IF('After Exam Data Entry'!C50="", 0, 'After Exam Data Entry'!C50))</f>
        <v>0</v>
      </c>
      <c r="E50" s="33" t="str">
        <f>IF('MCQ TEST SHEET'!G51="", "", 'MCQ TEST SHEET'!G51)</f>
        <v/>
      </c>
      <c r="F50" s="33" t="str">
        <f>IF('After Exam Data Entry'!D50="", "", 'After Exam Data Entry'!D50)</f>
        <v>A</v>
      </c>
      <c r="G50" s="34" t="str">
        <f t="shared" si="0"/>
        <v/>
      </c>
      <c r="H50" s="72"/>
      <c r="I50" s="70"/>
    </row>
    <row r="51" spans="1:9" ht="17.25" thickTop="1" thickBot="1">
      <c r="A51" s="70"/>
      <c r="B51" s="32">
        <v>46</v>
      </c>
      <c r="C51" s="33">
        <f>IF('After Exam Data Entry'!B51="", "", 'After Exam Data Entry'!B51)</f>
        <v>1</v>
      </c>
      <c r="D51" s="33">
        <f>IF(C51="", "", IF('After Exam Data Entry'!C51="", 0, 'After Exam Data Entry'!C51))</f>
        <v>0</v>
      </c>
      <c r="E51" s="33" t="str">
        <f>IF('MCQ TEST SHEET'!G52="", "", 'MCQ TEST SHEET'!G52)</f>
        <v/>
      </c>
      <c r="F51" s="33" t="str">
        <f>IF('After Exam Data Entry'!D51="", "", 'After Exam Data Entry'!D51)</f>
        <v>B</v>
      </c>
      <c r="G51" s="34" t="str">
        <f t="shared" si="0"/>
        <v/>
      </c>
      <c r="H51" s="72"/>
      <c r="I51" s="70"/>
    </row>
    <row r="52" spans="1:9" ht="17.25" thickTop="1" thickBot="1">
      <c r="A52" s="70"/>
      <c r="B52" s="32">
        <v>47</v>
      </c>
      <c r="C52" s="33">
        <f>IF('After Exam Data Entry'!B52="", "", 'After Exam Data Entry'!B52)</f>
        <v>1</v>
      </c>
      <c r="D52" s="33">
        <f>IF(C52="", "", IF('After Exam Data Entry'!C52="", 0, 'After Exam Data Entry'!C52))</f>
        <v>0</v>
      </c>
      <c r="E52" s="33" t="str">
        <f>IF('MCQ TEST SHEET'!G53="", "", 'MCQ TEST SHEET'!G53)</f>
        <v/>
      </c>
      <c r="F52" s="33" t="str">
        <f>IF('After Exam Data Entry'!D52="", "", 'After Exam Data Entry'!D52)</f>
        <v>A</v>
      </c>
      <c r="G52" s="34" t="str">
        <f t="shared" si="0"/>
        <v/>
      </c>
      <c r="H52" s="72"/>
      <c r="I52" s="70"/>
    </row>
    <row r="53" spans="1:9" ht="17.25" thickTop="1" thickBot="1">
      <c r="A53" s="70"/>
      <c r="B53" s="32">
        <v>48</v>
      </c>
      <c r="C53" s="33">
        <f>IF('After Exam Data Entry'!B53="", "", 'After Exam Data Entry'!B53)</f>
        <v>1</v>
      </c>
      <c r="D53" s="33">
        <f>IF(C53="", "", IF('After Exam Data Entry'!C53="", 0, 'After Exam Data Entry'!C53))</f>
        <v>0</v>
      </c>
      <c r="E53" s="33" t="str">
        <f>IF('MCQ TEST SHEET'!G54="", "", 'MCQ TEST SHEET'!G54)</f>
        <v/>
      </c>
      <c r="F53" s="33" t="str">
        <f>IF('After Exam Data Entry'!D53="", "", 'After Exam Data Entry'!D53)</f>
        <v>C</v>
      </c>
      <c r="G53" s="34" t="str">
        <f t="shared" si="0"/>
        <v/>
      </c>
      <c r="H53" s="72"/>
      <c r="I53" s="70"/>
    </row>
    <row r="54" spans="1:9" ht="17.25" thickTop="1" thickBot="1">
      <c r="A54" s="70"/>
      <c r="B54" s="32">
        <v>49</v>
      </c>
      <c r="C54" s="33">
        <f>IF('After Exam Data Entry'!B54="", "", 'After Exam Data Entry'!B54)</f>
        <v>1</v>
      </c>
      <c r="D54" s="33">
        <f>IF(C54="", "", IF('After Exam Data Entry'!C54="", 0, 'After Exam Data Entry'!C54))</f>
        <v>0</v>
      </c>
      <c r="E54" s="33" t="str">
        <f>IF('MCQ TEST SHEET'!G55="", "", 'MCQ TEST SHEET'!G55)</f>
        <v/>
      </c>
      <c r="F54" s="33" t="str">
        <f>IF('After Exam Data Entry'!D54="", "", 'After Exam Data Entry'!D54)</f>
        <v>A</v>
      </c>
      <c r="G54" s="34" t="str">
        <f t="shared" si="0"/>
        <v/>
      </c>
      <c r="H54" s="72"/>
      <c r="I54" s="70"/>
    </row>
    <row r="55" spans="1:9" ht="17.25" thickTop="1" thickBot="1">
      <c r="A55" s="70"/>
      <c r="B55" s="32">
        <v>50</v>
      </c>
      <c r="C55" s="33">
        <f>IF('After Exam Data Entry'!B55="", "", 'After Exam Data Entry'!B55)</f>
        <v>1</v>
      </c>
      <c r="D55" s="33">
        <f>IF(C55="", "", IF('After Exam Data Entry'!C55="", 0, 'After Exam Data Entry'!C55))</f>
        <v>0</v>
      </c>
      <c r="E55" s="33" t="str">
        <f>IF('MCQ TEST SHEET'!G56="", "", 'MCQ TEST SHEET'!G56)</f>
        <v/>
      </c>
      <c r="F55" s="33" t="str">
        <f>IF('After Exam Data Entry'!D55="", "", 'After Exam Data Entry'!D55)</f>
        <v>D</v>
      </c>
      <c r="G55" s="34" t="str">
        <f t="shared" si="0"/>
        <v/>
      </c>
      <c r="H55" s="72"/>
      <c r="I55" s="70"/>
    </row>
    <row r="56" spans="1:9" ht="17.25" thickTop="1" thickBot="1">
      <c r="A56" s="70"/>
      <c r="B56" s="32">
        <v>51</v>
      </c>
      <c r="C56" s="33">
        <f>IF('After Exam Data Entry'!B56="", "", 'After Exam Data Entry'!B56)</f>
        <v>1</v>
      </c>
      <c r="D56" s="33">
        <f>IF(C56="", "", IF('After Exam Data Entry'!C56="", 0, 'After Exam Data Entry'!C56))</f>
        <v>0</v>
      </c>
      <c r="E56" s="33" t="str">
        <f>IF('MCQ TEST SHEET'!G57="", "", 'MCQ TEST SHEET'!G57)</f>
        <v/>
      </c>
      <c r="F56" s="33" t="str">
        <f>IF('After Exam Data Entry'!D56="", "", 'After Exam Data Entry'!D56)</f>
        <v>D</v>
      </c>
      <c r="G56" s="34" t="str">
        <f t="shared" si="0"/>
        <v/>
      </c>
      <c r="H56" s="72"/>
      <c r="I56" s="70"/>
    </row>
    <row r="57" spans="1:9" ht="17.25" thickTop="1" thickBot="1">
      <c r="A57" s="70"/>
      <c r="B57" s="32">
        <v>52</v>
      </c>
      <c r="C57" s="33">
        <f>IF('After Exam Data Entry'!B57="", "", 'After Exam Data Entry'!B57)</f>
        <v>1</v>
      </c>
      <c r="D57" s="33">
        <f>IF(C57="", "", IF('After Exam Data Entry'!C57="", 0, 'After Exam Data Entry'!C57))</f>
        <v>0</v>
      </c>
      <c r="E57" s="33" t="str">
        <f>IF('MCQ TEST SHEET'!G58="", "", 'MCQ TEST SHEET'!G58)</f>
        <v/>
      </c>
      <c r="F57" s="33" t="str">
        <f>IF('After Exam Data Entry'!D57="", "", 'After Exam Data Entry'!D57)</f>
        <v>A</v>
      </c>
      <c r="G57" s="34" t="str">
        <f t="shared" si="0"/>
        <v/>
      </c>
      <c r="H57" s="72"/>
      <c r="I57" s="70"/>
    </row>
    <row r="58" spans="1:9" ht="17.25" thickTop="1" thickBot="1">
      <c r="A58" s="70"/>
      <c r="B58" s="32">
        <v>53</v>
      </c>
      <c r="C58" s="33">
        <f>IF('After Exam Data Entry'!B58="", "", 'After Exam Data Entry'!B58)</f>
        <v>1</v>
      </c>
      <c r="D58" s="33">
        <f>IF(C58="", "", IF('After Exam Data Entry'!C58="", 0, 'After Exam Data Entry'!C58))</f>
        <v>0</v>
      </c>
      <c r="E58" s="33" t="str">
        <f>IF('MCQ TEST SHEET'!G59="", "", 'MCQ TEST SHEET'!G59)</f>
        <v/>
      </c>
      <c r="F58" s="33" t="str">
        <f>IF('After Exam Data Entry'!D58="", "", 'After Exam Data Entry'!D58)</f>
        <v>C</v>
      </c>
      <c r="G58" s="34" t="str">
        <f t="shared" si="0"/>
        <v/>
      </c>
      <c r="H58" s="72"/>
      <c r="I58" s="70"/>
    </row>
    <row r="59" spans="1:9" ht="17.25" thickTop="1" thickBot="1">
      <c r="A59" s="70"/>
      <c r="B59" s="32">
        <v>54</v>
      </c>
      <c r="C59" s="33">
        <f>IF('After Exam Data Entry'!B59="", "", 'After Exam Data Entry'!B59)</f>
        <v>1</v>
      </c>
      <c r="D59" s="33">
        <f>IF(C59="", "", IF('After Exam Data Entry'!C59="", 0, 'After Exam Data Entry'!C59))</f>
        <v>0</v>
      </c>
      <c r="E59" s="33" t="str">
        <f>IF('MCQ TEST SHEET'!G60="", "", 'MCQ TEST SHEET'!G60)</f>
        <v/>
      </c>
      <c r="F59" s="33" t="str">
        <f>IF('After Exam Data Entry'!D59="", "", 'After Exam Data Entry'!D59)</f>
        <v>B</v>
      </c>
      <c r="G59" s="34" t="str">
        <f t="shared" si="0"/>
        <v/>
      </c>
      <c r="H59" s="72"/>
      <c r="I59" s="70"/>
    </row>
    <row r="60" spans="1:9" ht="17.25" thickTop="1" thickBot="1">
      <c r="A60" s="70"/>
      <c r="B60" s="32">
        <v>55</v>
      </c>
      <c r="C60" s="33">
        <f>IF('After Exam Data Entry'!B60="", "", 'After Exam Data Entry'!B60)</f>
        <v>1</v>
      </c>
      <c r="D60" s="33">
        <f>IF(C60="", "", IF('After Exam Data Entry'!C60="", 0, 'After Exam Data Entry'!C60))</f>
        <v>0</v>
      </c>
      <c r="E60" s="33" t="str">
        <f>IF('MCQ TEST SHEET'!G61="", "", 'MCQ TEST SHEET'!G61)</f>
        <v/>
      </c>
      <c r="F60" s="33" t="str">
        <f>IF('After Exam Data Entry'!D60="", "", 'After Exam Data Entry'!D60)</f>
        <v>C</v>
      </c>
      <c r="G60" s="34" t="str">
        <f t="shared" si="0"/>
        <v/>
      </c>
      <c r="H60" s="72"/>
      <c r="I60" s="70"/>
    </row>
    <row r="61" spans="1:9" ht="17.25" thickTop="1" thickBot="1">
      <c r="A61" s="70"/>
      <c r="B61" s="32">
        <v>56</v>
      </c>
      <c r="C61" s="33">
        <f>IF('After Exam Data Entry'!B61="", "", 'After Exam Data Entry'!B61)</f>
        <v>1</v>
      </c>
      <c r="D61" s="33">
        <f>IF(C61="", "", IF('After Exam Data Entry'!C61="", 0, 'After Exam Data Entry'!C61))</f>
        <v>0</v>
      </c>
      <c r="E61" s="33" t="str">
        <f>IF('MCQ TEST SHEET'!G62="", "", 'MCQ TEST SHEET'!G62)</f>
        <v/>
      </c>
      <c r="F61" s="33" t="str">
        <f>IF('After Exam Data Entry'!D61="", "", 'After Exam Data Entry'!D61)</f>
        <v>A</v>
      </c>
      <c r="G61" s="34" t="str">
        <f t="shared" si="0"/>
        <v/>
      </c>
      <c r="H61" s="72"/>
      <c r="I61" s="70"/>
    </row>
    <row r="62" spans="1:9" ht="17.25" thickTop="1" thickBot="1">
      <c r="A62" s="70"/>
      <c r="B62" s="32">
        <v>57</v>
      </c>
      <c r="C62" s="33">
        <f>IF('After Exam Data Entry'!B62="", "", 'After Exam Data Entry'!B62)</f>
        <v>1</v>
      </c>
      <c r="D62" s="33">
        <f>IF(C62="", "", IF('After Exam Data Entry'!C62="", 0, 'After Exam Data Entry'!C62))</f>
        <v>0</v>
      </c>
      <c r="E62" s="33" t="str">
        <f>IF('MCQ TEST SHEET'!G63="", "", 'MCQ TEST SHEET'!G63)</f>
        <v/>
      </c>
      <c r="F62" s="33" t="str">
        <f>IF('After Exam Data Entry'!D62="", "", 'After Exam Data Entry'!D62)</f>
        <v>C</v>
      </c>
      <c r="G62" s="34" t="str">
        <f t="shared" si="0"/>
        <v/>
      </c>
      <c r="H62" s="72"/>
      <c r="I62" s="70"/>
    </row>
    <row r="63" spans="1:9" ht="17.25" thickTop="1" thickBot="1">
      <c r="A63" s="70"/>
      <c r="B63" s="32">
        <v>58</v>
      </c>
      <c r="C63" s="33">
        <f>IF('After Exam Data Entry'!B63="", "", 'After Exam Data Entry'!B63)</f>
        <v>1</v>
      </c>
      <c r="D63" s="33">
        <f>IF(C63="", "", IF('After Exam Data Entry'!C63="", 0, 'After Exam Data Entry'!C63))</f>
        <v>0</v>
      </c>
      <c r="E63" s="33" t="str">
        <f>IF('MCQ TEST SHEET'!G64="", "", 'MCQ TEST SHEET'!G64)</f>
        <v/>
      </c>
      <c r="F63" s="33" t="str">
        <f>IF('After Exam Data Entry'!D63="", "", 'After Exam Data Entry'!D63)</f>
        <v>B</v>
      </c>
      <c r="G63" s="34" t="str">
        <f t="shared" si="0"/>
        <v/>
      </c>
      <c r="H63" s="72"/>
      <c r="I63" s="70"/>
    </row>
    <row r="64" spans="1:9" ht="17.25" thickTop="1" thickBot="1">
      <c r="A64" s="70"/>
      <c r="B64" s="32">
        <v>59</v>
      </c>
      <c r="C64" s="33">
        <f>IF('After Exam Data Entry'!B64="", "", 'After Exam Data Entry'!B64)</f>
        <v>1</v>
      </c>
      <c r="D64" s="33">
        <f>IF(C64="", "", IF('After Exam Data Entry'!C64="", 0, 'After Exam Data Entry'!C64))</f>
        <v>0</v>
      </c>
      <c r="E64" s="33" t="str">
        <f>IF('MCQ TEST SHEET'!G65="", "", 'MCQ TEST SHEET'!G65)</f>
        <v/>
      </c>
      <c r="F64" s="33" t="str">
        <f>IF('After Exam Data Entry'!D64="", "", 'After Exam Data Entry'!D64)</f>
        <v>D</v>
      </c>
      <c r="G64" s="34" t="str">
        <f t="shared" si="0"/>
        <v/>
      </c>
      <c r="H64" s="72"/>
      <c r="I64" s="70"/>
    </row>
    <row r="65" spans="1:9" ht="17.25" thickTop="1" thickBot="1">
      <c r="A65" s="70"/>
      <c r="B65" s="32">
        <v>60</v>
      </c>
      <c r="C65" s="33">
        <f>IF('After Exam Data Entry'!B65="", "", 'After Exam Data Entry'!B65)</f>
        <v>1</v>
      </c>
      <c r="D65" s="33">
        <f>IF(C65="", "", IF('After Exam Data Entry'!C65="", 0, 'After Exam Data Entry'!C65))</f>
        <v>0</v>
      </c>
      <c r="E65" s="33" t="str">
        <f>IF('MCQ TEST SHEET'!G66="", "", 'MCQ TEST SHEET'!G66)</f>
        <v/>
      </c>
      <c r="F65" s="33" t="str">
        <f>IF('After Exam Data Entry'!D65="", "", 'After Exam Data Entry'!D65)</f>
        <v>B</v>
      </c>
      <c r="G65" s="34" t="str">
        <f t="shared" si="0"/>
        <v/>
      </c>
      <c r="H65" s="72"/>
      <c r="I65" s="70"/>
    </row>
    <row r="66" spans="1:9" ht="17.25" thickTop="1" thickBot="1">
      <c r="A66" s="70"/>
      <c r="B66" s="32">
        <v>61</v>
      </c>
      <c r="C66" s="33">
        <f>IF('After Exam Data Entry'!B66="", "", 'After Exam Data Entry'!B66)</f>
        <v>1</v>
      </c>
      <c r="D66" s="33">
        <f>IF(C66="", "", IF('After Exam Data Entry'!C66="", 0, 'After Exam Data Entry'!C66))</f>
        <v>0</v>
      </c>
      <c r="E66" s="33" t="str">
        <f>IF('MCQ TEST SHEET'!G67="", "", 'MCQ TEST SHEET'!G67)</f>
        <v/>
      </c>
      <c r="F66" s="33" t="str">
        <f>IF('After Exam Data Entry'!D66="", "", 'After Exam Data Entry'!D66)</f>
        <v>C</v>
      </c>
      <c r="G66" s="34" t="str">
        <f t="shared" si="0"/>
        <v/>
      </c>
      <c r="H66" s="72"/>
      <c r="I66" s="70"/>
    </row>
    <row r="67" spans="1:9" ht="17.25" thickTop="1" thickBot="1">
      <c r="A67" s="70"/>
      <c r="B67" s="32">
        <v>62</v>
      </c>
      <c r="C67" s="33">
        <f>IF('After Exam Data Entry'!B67="", "", 'After Exam Data Entry'!B67)</f>
        <v>1</v>
      </c>
      <c r="D67" s="33">
        <f>IF(C67="", "", IF('After Exam Data Entry'!C67="", 0, 'After Exam Data Entry'!C67))</f>
        <v>0</v>
      </c>
      <c r="E67" s="33" t="str">
        <f>IF('MCQ TEST SHEET'!G68="", "", 'MCQ TEST SHEET'!G68)</f>
        <v/>
      </c>
      <c r="F67" s="33" t="str">
        <f>IF('After Exam Data Entry'!D67="", "", 'After Exam Data Entry'!D67)</f>
        <v>B</v>
      </c>
      <c r="G67" s="34" t="str">
        <f t="shared" si="0"/>
        <v/>
      </c>
      <c r="H67" s="72"/>
      <c r="I67" s="70"/>
    </row>
    <row r="68" spans="1:9" ht="17.25" thickTop="1" thickBot="1">
      <c r="A68" s="70"/>
      <c r="B68" s="32">
        <v>63</v>
      </c>
      <c r="C68" s="33">
        <f>IF('After Exam Data Entry'!B68="", "", 'After Exam Data Entry'!B68)</f>
        <v>1</v>
      </c>
      <c r="D68" s="33">
        <f>IF(C68="", "", IF('After Exam Data Entry'!C68="", 0, 'After Exam Data Entry'!C68))</f>
        <v>0</v>
      </c>
      <c r="E68" s="33" t="str">
        <f>IF('MCQ TEST SHEET'!G69="", "", 'MCQ TEST SHEET'!G69)</f>
        <v/>
      </c>
      <c r="F68" s="33" t="str">
        <f>IF('After Exam Data Entry'!D68="", "", 'After Exam Data Entry'!D68)</f>
        <v>D</v>
      </c>
      <c r="G68" s="34" t="str">
        <f t="shared" ref="G68:G131" si="1">IF(F68="", "", IF(E68="", "", IF(E68=F68, C68, D68)))</f>
        <v/>
      </c>
      <c r="H68" s="72"/>
      <c r="I68" s="70"/>
    </row>
    <row r="69" spans="1:9" ht="17.25" thickTop="1" thickBot="1">
      <c r="A69" s="70"/>
      <c r="B69" s="32">
        <v>64</v>
      </c>
      <c r="C69" s="33">
        <f>IF('After Exam Data Entry'!B69="", "", 'After Exam Data Entry'!B69)</f>
        <v>1</v>
      </c>
      <c r="D69" s="33">
        <f>IF(C69="", "", IF('After Exam Data Entry'!C69="", 0, 'After Exam Data Entry'!C69))</f>
        <v>0</v>
      </c>
      <c r="E69" s="33" t="str">
        <f>IF('MCQ TEST SHEET'!G70="", "", 'MCQ TEST SHEET'!G70)</f>
        <v/>
      </c>
      <c r="F69" s="33" t="str">
        <f>IF('After Exam Data Entry'!D69="", "", 'After Exam Data Entry'!D69)</f>
        <v>B</v>
      </c>
      <c r="G69" s="34" t="str">
        <f t="shared" si="1"/>
        <v/>
      </c>
      <c r="H69" s="72"/>
      <c r="I69" s="70"/>
    </row>
    <row r="70" spans="1:9" ht="17.25" thickTop="1" thickBot="1">
      <c r="A70" s="70"/>
      <c r="B70" s="32">
        <v>65</v>
      </c>
      <c r="C70" s="33">
        <f>IF('After Exam Data Entry'!B70="", "", 'After Exam Data Entry'!B70)</f>
        <v>1</v>
      </c>
      <c r="D70" s="33">
        <f>IF(C70="", "", IF('After Exam Data Entry'!C70="", 0, 'After Exam Data Entry'!C70))</f>
        <v>0</v>
      </c>
      <c r="E70" s="33" t="str">
        <f>IF('MCQ TEST SHEET'!G71="", "", 'MCQ TEST SHEET'!G71)</f>
        <v/>
      </c>
      <c r="F70" s="33" t="str">
        <f>IF('After Exam Data Entry'!D70="", "", 'After Exam Data Entry'!D70)</f>
        <v>B</v>
      </c>
      <c r="G70" s="34" t="str">
        <f t="shared" si="1"/>
        <v/>
      </c>
      <c r="H70" s="72"/>
      <c r="I70" s="70"/>
    </row>
    <row r="71" spans="1:9" ht="17.25" thickTop="1" thickBot="1">
      <c r="A71" s="70"/>
      <c r="B71" s="32">
        <v>66</v>
      </c>
      <c r="C71" s="33">
        <f>IF('After Exam Data Entry'!B71="", "", 'After Exam Data Entry'!B71)</f>
        <v>1</v>
      </c>
      <c r="D71" s="33">
        <f>IF(C71="", "", IF('After Exam Data Entry'!C71="", 0, 'After Exam Data Entry'!C71))</f>
        <v>0</v>
      </c>
      <c r="E71" s="33" t="str">
        <f>IF('MCQ TEST SHEET'!G72="", "", 'MCQ TEST SHEET'!G72)</f>
        <v/>
      </c>
      <c r="F71" s="33" t="str">
        <f>IF('After Exam Data Entry'!D71="", "", 'After Exam Data Entry'!D71)</f>
        <v>C</v>
      </c>
      <c r="G71" s="34" t="str">
        <f t="shared" si="1"/>
        <v/>
      </c>
      <c r="H71" s="72"/>
      <c r="I71" s="70"/>
    </row>
    <row r="72" spans="1:9" ht="17.25" thickTop="1" thickBot="1">
      <c r="A72" s="70"/>
      <c r="B72" s="32">
        <v>67</v>
      </c>
      <c r="C72" s="33">
        <f>IF('After Exam Data Entry'!B72="", "", 'After Exam Data Entry'!B72)</f>
        <v>1</v>
      </c>
      <c r="D72" s="33">
        <f>IF(C72="", "", IF('After Exam Data Entry'!C72="", 0, 'After Exam Data Entry'!C72))</f>
        <v>0</v>
      </c>
      <c r="E72" s="33" t="str">
        <f>IF('MCQ TEST SHEET'!G73="", "", 'MCQ TEST SHEET'!G73)</f>
        <v/>
      </c>
      <c r="F72" s="33" t="str">
        <f>IF('After Exam Data Entry'!D72="", "", 'After Exam Data Entry'!D72)</f>
        <v>B</v>
      </c>
      <c r="G72" s="34" t="str">
        <f t="shared" si="1"/>
        <v/>
      </c>
      <c r="H72" s="72"/>
      <c r="I72" s="70"/>
    </row>
    <row r="73" spans="1:9" ht="17.25" thickTop="1" thickBot="1">
      <c r="A73" s="70"/>
      <c r="B73" s="32">
        <v>68</v>
      </c>
      <c r="C73" s="33">
        <f>IF('After Exam Data Entry'!B73="", "", 'After Exam Data Entry'!B73)</f>
        <v>1</v>
      </c>
      <c r="D73" s="33">
        <f>IF(C73="", "", IF('After Exam Data Entry'!C73="", 0, 'After Exam Data Entry'!C73))</f>
        <v>0</v>
      </c>
      <c r="E73" s="33" t="str">
        <f>IF('MCQ TEST SHEET'!G74="", "", 'MCQ TEST SHEET'!G74)</f>
        <v/>
      </c>
      <c r="F73" s="33" t="str">
        <f>IF('After Exam Data Entry'!D73="", "", 'After Exam Data Entry'!D73)</f>
        <v>B</v>
      </c>
      <c r="G73" s="34" t="str">
        <f t="shared" si="1"/>
        <v/>
      </c>
      <c r="H73" s="72"/>
      <c r="I73" s="70"/>
    </row>
    <row r="74" spans="1:9" ht="17.25" thickTop="1" thickBot="1">
      <c r="A74" s="70"/>
      <c r="B74" s="32">
        <v>69</v>
      </c>
      <c r="C74" s="33">
        <f>IF('After Exam Data Entry'!B74="", "", 'After Exam Data Entry'!B74)</f>
        <v>1</v>
      </c>
      <c r="D74" s="33">
        <f>IF(C74="", "", IF('After Exam Data Entry'!C74="", 0, 'After Exam Data Entry'!C74))</f>
        <v>0</v>
      </c>
      <c r="E74" s="33" t="str">
        <f>IF('MCQ TEST SHEET'!G75="", "", 'MCQ TEST SHEET'!G75)</f>
        <v/>
      </c>
      <c r="F74" s="33" t="str">
        <f>IF('After Exam Data Entry'!D74="", "", 'After Exam Data Entry'!D74)</f>
        <v>C</v>
      </c>
      <c r="G74" s="34" t="str">
        <f t="shared" si="1"/>
        <v/>
      </c>
      <c r="H74" s="72"/>
      <c r="I74" s="70"/>
    </row>
    <row r="75" spans="1:9" ht="17.25" thickTop="1" thickBot="1">
      <c r="A75" s="70"/>
      <c r="B75" s="32">
        <v>70</v>
      </c>
      <c r="C75" s="33">
        <f>IF('After Exam Data Entry'!B75="", "", 'After Exam Data Entry'!B75)</f>
        <v>1</v>
      </c>
      <c r="D75" s="33">
        <f>IF(C75="", "", IF('After Exam Data Entry'!C75="", 0, 'After Exam Data Entry'!C75))</f>
        <v>0</v>
      </c>
      <c r="E75" s="33" t="str">
        <f>IF('MCQ TEST SHEET'!G76="", "", 'MCQ TEST SHEET'!G76)</f>
        <v/>
      </c>
      <c r="F75" s="33" t="str">
        <f>IF('After Exam Data Entry'!D75="", "", 'After Exam Data Entry'!D75)</f>
        <v>B</v>
      </c>
      <c r="G75" s="34" t="str">
        <f t="shared" si="1"/>
        <v/>
      </c>
      <c r="H75" s="72"/>
      <c r="I75" s="70"/>
    </row>
    <row r="76" spans="1:9" ht="17.25" thickTop="1" thickBot="1">
      <c r="A76" s="70"/>
      <c r="B76" s="32">
        <v>71</v>
      </c>
      <c r="C76" s="33">
        <f>IF('After Exam Data Entry'!B76="", "", 'After Exam Data Entry'!B76)</f>
        <v>1</v>
      </c>
      <c r="D76" s="33">
        <f>IF(C76="", "", IF('After Exam Data Entry'!C76="", 0, 'After Exam Data Entry'!C76))</f>
        <v>0</v>
      </c>
      <c r="E76" s="33" t="str">
        <f>IF('MCQ TEST SHEET'!G77="", "", 'MCQ TEST SHEET'!G77)</f>
        <v/>
      </c>
      <c r="F76" s="33" t="str">
        <f>IF('After Exam Data Entry'!D76="", "", 'After Exam Data Entry'!D76)</f>
        <v>A</v>
      </c>
      <c r="G76" s="34" t="str">
        <f t="shared" si="1"/>
        <v/>
      </c>
      <c r="H76" s="72"/>
      <c r="I76" s="70"/>
    </row>
    <row r="77" spans="1:9" ht="17.25" thickTop="1" thickBot="1">
      <c r="A77" s="70"/>
      <c r="B77" s="32">
        <v>72</v>
      </c>
      <c r="C77" s="33">
        <f>IF('After Exam Data Entry'!B77="", "", 'After Exam Data Entry'!B77)</f>
        <v>1</v>
      </c>
      <c r="D77" s="33">
        <f>IF(C77="", "", IF('After Exam Data Entry'!C77="", 0, 'After Exam Data Entry'!C77))</f>
        <v>0</v>
      </c>
      <c r="E77" s="33" t="str">
        <f>IF('MCQ TEST SHEET'!G78="", "", 'MCQ TEST SHEET'!G78)</f>
        <v/>
      </c>
      <c r="F77" s="33" t="str">
        <f>IF('After Exam Data Entry'!D77="", "", 'After Exam Data Entry'!D77)</f>
        <v>B</v>
      </c>
      <c r="G77" s="34" t="str">
        <f t="shared" si="1"/>
        <v/>
      </c>
      <c r="H77" s="72"/>
      <c r="I77" s="70"/>
    </row>
    <row r="78" spans="1:9" ht="17.25" thickTop="1" thickBot="1">
      <c r="A78" s="70"/>
      <c r="B78" s="32">
        <v>73</v>
      </c>
      <c r="C78" s="33">
        <f>IF('After Exam Data Entry'!B78="", "", 'After Exam Data Entry'!B78)</f>
        <v>1</v>
      </c>
      <c r="D78" s="33">
        <f>IF(C78="", "", IF('After Exam Data Entry'!C78="", 0, 'After Exam Data Entry'!C78))</f>
        <v>0</v>
      </c>
      <c r="E78" s="33" t="str">
        <f>IF('MCQ TEST SHEET'!G79="", "", 'MCQ TEST SHEET'!G79)</f>
        <v/>
      </c>
      <c r="F78" s="33" t="str">
        <f>IF('After Exam Data Entry'!D78="", "", 'After Exam Data Entry'!D78)</f>
        <v>C</v>
      </c>
      <c r="G78" s="34" t="str">
        <f t="shared" si="1"/>
        <v/>
      </c>
      <c r="H78" s="72"/>
      <c r="I78" s="70"/>
    </row>
    <row r="79" spans="1:9" ht="17.25" thickTop="1" thickBot="1">
      <c r="A79" s="70"/>
      <c r="B79" s="32">
        <v>74</v>
      </c>
      <c r="C79" s="33">
        <f>IF('After Exam Data Entry'!B79="", "", 'After Exam Data Entry'!B79)</f>
        <v>1</v>
      </c>
      <c r="D79" s="33">
        <f>IF(C79="", "", IF('After Exam Data Entry'!C79="", 0, 'After Exam Data Entry'!C79))</f>
        <v>0</v>
      </c>
      <c r="E79" s="33" t="str">
        <f>IF('MCQ TEST SHEET'!G80="", "", 'MCQ TEST SHEET'!G80)</f>
        <v/>
      </c>
      <c r="F79" s="33" t="str">
        <f>IF('After Exam Data Entry'!D79="", "", 'After Exam Data Entry'!D79)</f>
        <v>B</v>
      </c>
      <c r="G79" s="34" t="str">
        <f t="shared" si="1"/>
        <v/>
      </c>
      <c r="H79" s="72"/>
      <c r="I79" s="70"/>
    </row>
    <row r="80" spans="1:9" ht="17.25" thickTop="1" thickBot="1">
      <c r="A80" s="70"/>
      <c r="B80" s="32">
        <v>75</v>
      </c>
      <c r="C80" s="33">
        <f>IF('After Exam Data Entry'!B80="", "", 'After Exam Data Entry'!B80)</f>
        <v>1</v>
      </c>
      <c r="D80" s="33">
        <f>IF(C80="", "", IF('After Exam Data Entry'!C80="", 0, 'After Exam Data Entry'!C80))</f>
        <v>0</v>
      </c>
      <c r="E80" s="33" t="str">
        <f>IF('MCQ TEST SHEET'!G81="", "", 'MCQ TEST SHEET'!G81)</f>
        <v/>
      </c>
      <c r="F80" s="33" t="str">
        <f>IF('After Exam Data Entry'!D80="", "", 'After Exam Data Entry'!D80)</f>
        <v>C</v>
      </c>
      <c r="G80" s="34" t="str">
        <f t="shared" si="1"/>
        <v/>
      </c>
      <c r="H80" s="72"/>
      <c r="I80" s="70"/>
    </row>
    <row r="81" spans="1:9" ht="17.25" thickTop="1" thickBot="1">
      <c r="A81" s="70"/>
      <c r="B81" s="32">
        <v>76</v>
      </c>
      <c r="C81" s="33">
        <f>IF('After Exam Data Entry'!B81="", "", 'After Exam Data Entry'!B81)</f>
        <v>1</v>
      </c>
      <c r="D81" s="33">
        <f>IF(C81="", "", IF('After Exam Data Entry'!C81="", 0, 'After Exam Data Entry'!C81))</f>
        <v>0</v>
      </c>
      <c r="E81" s="33" t="str">
        <f>IF('MCQ TEST SHEET'!G82="", "", 'MCQ TEST SHEET'!G82)</f>
        <v/>
      </c>
      <c r="F81" s="33" t="str">
        <f>IF('After Exam Data Entry'!D81="", "", 'After Exam Data Entry'!D81)</f>
        <v>B</v>
      </c>
      <c r="G81" s="34" t="str">
        <f t="shared" si="1"/>
        <v/>
      </c>
      <c r="H81" s="72"/>
      <c r="I81" s="70"/>
    </row>
    <row r="82" spans="1:9" ht="17.25" thickTop="1" thickBot="1">
      <c r="A82" s="70"/>
      <c r="B82" s="32">
        <v>77</v>
      </c>
      <c r="C82" s="33">
        <f>IF('After Exam Data Entry'!B82="", "", 'After Exam Data Entry'!B82)</f>
        <v>1</v>
      </c>
      <c r="D82" s="33">
        <f>IF(C82="", "", IF('After Exam Data Entry'!C82="", 0, 'After Exam Data Entry'!C82))</f>
        <v>0</v>
      </c>
      <c r="E82" s="33" t="str">
        <f>IF('MCQ TEST SHEET'!G83="", "", 'MCQ TEST SHEET'!G83)</f>
        <v/>
      </c>
      <c r="F82" s="33" t="str">
        <f>IF('After Exam Data Entry'!D82="", "", 'After Exam Data Entry'!D82)</f>
        <v>C</v>
      </c>
      <c r="G82" s="34" t="str">
        <f t="shared" si="1"/>
        <v/>
      </c>
      <c r="H82" s="72"/>
      <c r="I82" s="70"/>
    </row>
    <row r="83" spans="1:9" ht="17.25" thickTop="1" thickBot="1">
      <c r="A83" s="70"/>
      <c r="B83" s="32">
        <v>78</v>
      </c>
      <c r="C83" s="33">
        <f>IF('After Exam Data Entry'!B83="", "", 'After Exam Data Entry'!B83)</f>
        <v>1</v>
      </c>
      <c r="D83" s="33">
        <f>IF(C83="", "", IF('After Exam Data Entry'!C83="", 0, 'After Exam Data Entry'!C83))</f>
        <v>0</v>
      </c>
      <c r="E83" s="33" t="str">
        <f>IF('MCQ TEST SHEET'!G84="", "", 'MCQ TEST SHEET'!G84)</f>
        <v/>
      </c>
      <c r="F83" s="33" t="str">
        <f>IF('After Exam Data Entry'!D83="", "", 'After Exam Data Entry'!D83)</f>
        <v>B</v>
      </c>
      <c r="G83" s="34" t="str">
        <f t="shared" si="1"/>
        <v/>
      </c>
      <c r="H83" s="72"/>
      <c r="I83" s="70"/>
    </row>
    <row r="84" spans="1:9" ht="17.25" thickTop="1" thickBot="1">
      <c r="A84" s="70"/>
      <c r="B84" s="32">
        <v>79</v>
      </c>
      <c r="C84" s="33">
        <f>IF('After Exam Data Entry'!B84="", "", 'After Exam Data Entry'!B84)</f>
        <v>1</v>
      </c>
      <c r="D84" s="33">
        <f>IF(C84="", "", IF('After Exam Data Entry'!C84="", 0, 'After Exam Data Entry'!C84))</f>
        <v>0</v>
      </c>
      <c r="E84" s="33" t="str">
        <f>IF('MCQ TEST SHEET'!G85="", "", 'MCQ TEST SHEET'!G85)</f>
        <v/>
      </c>
      <c r="F84" s="33" t="str">
        <f>IF('After Exam Data Entry'!D84="", "", 'After Exam Data Entry'!D84)</f>
        <v>D</v>
      </c>
      <c r="G84" s="34" t="str">
        <f t="shared" si="1"/>
        <v/>
      </c>
      <c r="H84" s="72"/>
      <c r="I84" s="70"/>
    </row>
    <row r="85" spans="1:9" ht="17.25" thickTop="1" thickBot="1">
      <c r="A85" s="70"/>
      <c r="B85" s="32">
        <v>80</v>
      </c>
      <c r="C85" s="33">
        <f>IF('After Exam Data Entry'!B85="", "", 'After Exam Data Entry'!B85)</f>
        <v>1</v>
      </c>
      <c r="D85" s="33">
        <f>IF(C85="", "", IF('After Exam Data Entry'!C85="", 0, 'After Exam Data Entry'!C85))</f>
        <v>0</v>
      </c>
      <c r="E85" s="33" t="str">
        <f>IF('MCQ TEST SHEET'!G86="", "", 'MCQ TEST SHEET'!G86)</f>
        <v/>
      </c>
      <c r="F85" s="33" t="str">
        <f>IF('After Exam Data Entry'!D85="", "", 'After Exam Data Entry'!D85)</f>
        <v>C</v>
      </c>
      <c r="G85" s="34" t="str">
        <f t="shared" si="1"/>
        <v/>
      </c>
      <c r="H85" s="72"/>
      <c r="I85" s="70"/>
    </row>
    <row r="86" spans="1:9" ht="17.25" thickTop="1" thickBot="1">
      <c r="A86" s="70"/>
      <c r="B86" s="32">
        <v>81</v>
      </c>
      <c r="C86" s="33">
        <f>IF('After Exam Data Entry'!B86="", "", 'After Exam Data Entry'!B86)</f>
        <v>1</v>
      </c>
      <c r="D86" s="33">
        <f>IF(C86="", "", IF('After Exam Data Entry'!C86="", 0, 'After Exam Data Entry'!C86))</f>
        <v>0</v>
      </c>
      <c r="E86" s="33" t="str">
        <f>IF('MCQ TEST SHEET'!G87="", "", 'MCQ TEST SHEET'!G87)</f>
        <v/>
      </c>
      <c r="F86" s="33" t="str">
        <f>IF('After Exam Data Entry'!D86="", "", 'After Exam Data Entry'!D86)</f>
        <v>B</v>
      </c>
      <c r="G86" s="34" t="str">
        <f t="shared" si="1"/>
        <v/>
      </c>
      <c r="H86" s="72"/>
      <c r="I86" s="70"/>
    </row>
    <row r="87" spans="1:9" ht="17.25" thickTop="1" thickBot="1">
      <c r="A87" s="70"/>
      <c r="B87" s="32">
        <v>82</v>
      </c>
      <c r="C87" s="33">
        <f>IF('After Exam Data Entry'!B87="", "", 'After Exam Data Entry'!B87)</f>
        <v>1</v>
      </c>
      <c r="D87" s="33">
        <f>IF(C87="", "", IF('After Exam Data Entry'!C87="", 0, 'After Exam Data Entry'!C87))</f>
        <v>0</v>
      </c>
      <c r="E87" s="33" t="str">
        <f>IF('MCQ TEST SHEET'!G88="", "", 'MCQ TEST SHEET'!G88)</f>
        <v/>
      </c>
      <c r="F87" s="33" t="str">
        <f>IF('After Exam Data Entry'!D87="", "", 'After Exam Data Entry'!D87)</f>
        <v>C</v>
      </c>
      <c r="G87" s="34" t="str">
        <f t="shared" si="1"/>
        <v/>
      </c>
      <c r="H87" s="72"/>
      <c r="I87" s="70"/>
    </row>
    <row r="88" spans="1:9" ht="17.25" thickTop="1" thickBot="1">
      <c r="A88" s="70"/>
      <c r="B88" s="32">
        <v>83</v>
      </c>
      <c r="C88" s="33">
        <f>IF('After Exam Data Entry'!B88="", "", 'After Exam Data Entry'!B88)</f>
        <v>1</v>
      </c>
      <c r="D88" s="33">
        <f>IF(C88="", "", IF('After Exam Data Entry'!C88="", 0, 'After Exam Data Entry'!C88))</f>
        <v>0</v>
      </c>
      <c r="E88" s="33" t="str">
        <f>IF('MCQ TEST SHEET'!G89="", "", 'MCQ TEST SHEET'!G89)</f>
        <v/>
      </c>
      <c r="F88" s="33" t="str">
        <f>IF('After Exam Data Entry'!D88="", "", 'After Exam Data Entry'!D88)</f>
        <v>D</v>
      </c>
      <c r="G88" s="34" t="str">
        <f t="shared" si="1"/>
        <v/>
      </c>
      <c r="H88" s="72"/>
      <c r="I88" s="70"/>
    </row>
    <row r="89" spans="1:9" ht="17.25" thickTop="1" thickBot="1">
      <c r="A89" s="70"/>
      <c r="B89" s="32">
        <v>84</v>
      </c>
      <c r="C89" s="33">
        <f>IF('After Exam Data Entry'!B89="", "", 'After Exam Data Entry'!B89)</f>
        <v>1</v>
      </c>
      <c r="D89" s="33">
        <f>IF(C89="", "", IF('After Exam Data Entry'!C89="", 0, 'After Exam Data Entry'!C89))</f>
        <v>0</v>
      </c>
      <c r="E89" s="33" t="str">
        <f>IF('MCQ TEST SHEET'!G90="", "", 'MCQ TEST SHEET'!G90)</f>
        <v/>
      </c>
      <c r="F89" s="33" t="str">
        <f>IF('After Exam Data Entry'!D89="", "", 'After Exam Data Entry'!D89)</f>
        <v>B</v>
      </c>
      <c r="G89" s="34" t="str">
        <f t="shared" si="1"/>
        <v/>
      </c>
      <c r="H89" s="72"/>
      <c r="I89" s="70"/>
    </row>
    <row r="90" spans="1:9" ht="17.25" thickTop="1" thickBot="1">
      <c r="A90" s="70"/>
      <c r="B90" s="32">
        <v>85</v>
      </c>
      <c r="C90" s="33">
        <f>IF('After Exam Data Entry'!B90="", "", 'After Exam Data Entry'!B90)</f>
        <v>1</v>
      </c>
      <c r="D90" s="33">
        <f>IF(C90="", "", IF('After Exam Data Entry'!C90="", 0, 'After Exam Data Entry'!C90))</f>
        <v>0</v>
      </c>
      <c r="E90" s="33" t="str">
        <f>IF('MCQ TEST SHEET'!G91="", "", 'MCQ TEST SHEET'!G91)</f>
        <v/>
      </c>
      <c r="F90" s="33" t="str">
        <f>IF('After Exam Data Entry'!D90="", "", 'After Exam Data Entry'!D90)</f>
        <v>A</v>
      </c>
      <c r="G90" s="34" t="str">
        <f t="shared" si="1"/>
        <v/>
      </c>
      <c r="H90" s="72"/>
      <c r="I90" s="70"/>
    </row>
    <row r="91" spans="1:9" ht="17.25" thickTop="1" thickBot="1">
      <c r="A91" s="70"/>
      <c r="B91" s="32">
        <v>86</v>
      </c>
      <c r="C91" s="33">
        <f>IF('After Exam Data Entry'!B91="", "", 'After Exam Data Entry'!B91)</f>
        <v>1</v>
      </c>
      <c r="D91" s="33">
        <f>IF(C91="", "", IF('After Exam Data Entry'!C91="", 0, 'After Exam Data Entry'!C91))</f>
        <v>0</v>
      </c>
      <c r="E91" s="33" t="str">
        <f>IF('MCQ TEST SHEET'!G92="", "", 'MCQ TEST SHEET'!G92)</f>
        <v/>
      </c>
      <c r="F91" s="33" t="str">
        <f>IF('After Exam Data Entry'!D91="", "", 'After Exam Data Entry'!D91)</f>
        <v>D</v>
      </c>
      <c r="G91" s="34" t="str">
        <f t="shared" si="1"/>
        <v/>
      </c>
      <c r="H91" s="72"/>
      <c r="I91" s="70"/>
    </row>
    <row r="92" spans="1:9" ht="17.25" thickTop="1" thickBot="1">
      <c r="A92" s="70"/>
      <c r="B92" s="32">
        <v>87</v>
      </c>
      <c r="C92" s="33">
        <f>IF('After Exam Data Entry'!B92="", "", 'After Exam Data Entry'!B92)</f>
        <v>1</v>
      </c>
      <c r="D92" s="33">
        <f>IF(C92="", "", IF('After Exam Data Entry'!C92="", 0, 'After Exam Data Entry'!C92))</f>
        <v>0</v>
      </c>
      <c r="E92" s="33" t="str">
        <f>IF('MCQ TEST SHEET'!G93="", "", 'MCQ TEST SHEET'!G93)</f>
        <v/>
      </c>
      <c r="F92" s="33" t="str">
        <f>IF('After Exam Data Entry'!D92="", "", 'After Exam Data Entry'!D92)</f>
        <v>B</v>
      </c>
      <c r="G92" s="34" t="str">
        <f t="shared" si="1"/>
        <v/>
      </c>
      <c r="H92" s="72"/>
      <c r="I92" s="70"/>
    </row>
    <row r="93" spans="1:9" ht="17.25" thickTop="1" thickBot="1">
      <c r="A93" s="70"/>
      <c r="B93" s="32">
        <v>88</v>
      </c>
      <c r="C93" s="33">
        <f>IF('After Exam Data Entry'!B93="", "", 'After Exam Data Entry'!B93)</f>
        <v>1</v>
      </c>
      <c r="D93" s="33">
        <f>IF(C93="", "", IF('After Exam Data Entry'!C93="", 0, 'After Exam Data Entry'!C93))</f>
        <v>0</v>
      </c>
      <c r="E93" s="33" t="str">
        <f>IF('MCQ TEST SHEET'!G94="", "", 'MCQ TEST SHEET'!G94)</f>
        <v/>
      </c>
      <c r="F93" s="33" t="str">
        <f>IF('After Exam Data Entry'!D93="", "", 'After Exam Data Entry'!D93)</f>
        <v>D</v>
      </c>
      <c r="G93" s="34" t="str">
        <f t="shared" si="1"/>
        <v/>
      </c>
      <c r="H93" s="72"/>
      <c r="I93" s="70"/>
    </row>
    <row r="94" spans="1:9" ht="17.25" thickTop="1" thickBot="1">
      <c r="A94" s="70"/>
      <c r="B94" s="32">
        <v>89</v>
      </c>
      <c r="C94" s="33">
        <f>IF('After Exam Data Entry'!B94="", "", 'After Exam Data Entry'!B94)</f>
        <v>1</v>
      </c>
      <c r="D94" s="33">
        <f>IF(C94="", "", IF('After Exam Data Entry'!C94="", 0, 'After Exam Data Entry'!C94))</f>
        <v>0</v>
      </c>
      <c r="E94" s="33" t="str">
        <f>IF('MCQ TEST SHEET'!G95="", "", 'MCQ TEST SHEET'!G95)</f>
        <v/>
      </c>
      <c r="F94" s="33" t="str">
        <f>IF('After Exam Data Entry'!D94="", "", 'After Exam Data Entry'!D94)</f>
        <v>D</v>
      </c>
      <c r="G94" s="34" t="str">
        <f t="shared" si="1"/>
        <v/>
      </c>
      <c r="H94" s="72"/>
      <c r="I94" s="70"/>
    </row>
    <row r="95" spans="1:9" ht="17.25" thickTop="1" thickBot="1">
      <c r="A95" s="70"/>
      <c r="B95" s="32">
        <v>90</v>
      </c>
      <c r="C95" s="33">
        <f>IF('After Exam Data Entry'!B95="", "", 'After Exam Data Entry'!B95)</f>
        <v>1</v>
      </c>
      <c r="D95" s="33">
        <f>IF(C95="", "", IF('After Exam Data Entry'!C95="", 0, 'After Exam Data Entry'!C95))</f>
        <v>0</v>
      </c>
      <c r="E95" s="33" t="str">
        <f>IF('MCQ TEST SHEET'!G96="", "", 'MCQ TEST SHEET'!G96)</f>
        <v/>
      </c>
      <c r="F95" s="33" t="str">
        <f>IF('After Exam Data Entry'!D95="", "", 'After Exam Data Entry'!D95)</f>
        <v>B</v>
      </c>
      <c r="G95" s="34" t="str">
        <f t="shared" si="1"/>
        <v/>
      </c>
      <c r="H95" s="72"/>
      <c r="I95" s="70"/>
    </row>
    <row r="96" spans="1:9" ht="17.25" thickTop="1" thickBot="1">
      <c r="A96" s="70"/>
      <c r="B96" s="32">
        <v>91</v>
      </c>
      <c r="C96" s="33">
        <f>IF('After Exam Data Entry'!B96="", "", 'After Exam Data Entry'!B96)</f>
        <v>1</v>
      </c>
      <c r="D96" s="33">
        <f>IF(C96="", "", IF('After Exam Data Entry'!C96="", 0, 'After Exam Data Entry'!C96))</f>
        <v>0</v>
      </c>
      <c r="E96" s="33" t="str">
        <f>IF('MCQ TEST SHEET'!G97="", "", 'MCQ TEST SHEET'!G97)</f>
        <v/>
      </c>
      <c r="F96" s="33" t="str">
        <f>IF('After Exam Data Entry'!D96="", "", 'After Exam Data Entry'!D96)</f>
        <v>C</v>
      </c>
      <c r="G96" s="34" t="str">
        <f t="shared" si="1"/>
        <v/>
      </c>
      <c r="H96" s="72"/>
      <c r="I96" s="70"/>
    </row>
    <row r="97" spans="1:9" ht="17.25" thickTop="1" thickBot="1">
      <c r="A97" s="70"/>
      <c r="B97" s="32">
        <v>92</v>
      </c>
      <c r="C97" s="33">
        <f>IF('After Exam Data Entry'!B97="", "", 'After Exam Data Entry'!B97)</f>
        <v>1</v>
      </c>
      <c r="D97" s="33">
        <f>IF(C97="", "", IF('After Exam Data Entry'!C97="", 0, 'After Exam Data Entry'!C97))</f>
        <v>0</v>
      </c>
      <c r="E97" s="33" t="str">
        <f>IF('MCQ TEST SHEET'!G98="", "", 'MCQ TEST SHEET'!G98)</f>
        <v/>
      </c>
      <c r="F97" s="33" t="str">
        <f>IF('After Exam Data Entry'!D97="", "", 'After Exam Data Entry'!D97)</f>
        <v>B</v>
      </c>
      <c r="G97" s="34" t="str">
        <f t="shared" si="1"/>
        <v/>
      </c>
      <c r="H97" s="72"/>
      <c r="I97" s="70"/>
    </row>
    <row r="98" spans="1:9" ht="17.25" thickTop="1" thickBot="1">
      <c r="A98" s="70"/>
      <c r="B98" s="32">
        <v>93</v>
      </c>
      <c r="C98" s="33">
        <f>IF('After Exam Data Entry'!B98="", "", 'After Exam Data Entry'!B98)</f>
        <v>1</v>
      </c>
      <c r="D98" s="33">
        <f>IF(C98="", "", IF('After Exam Data Entry'!C98="", 0, 'After Exam Data Entry'!C98))</f>
        <v>0</v>
      </c>
      <c r="E98" s="33" t="str">
        <f>IF('MCQ TEST SHEET'!G99="", "", 'MCQ TEST SHEET'!G99)</f>
        <v/>
      </c>
      <c r="F98" s="33" t="str">
        <f>IF('After Exam Data Entry'!D98="", "", 'After Exam Data Entry'!D98)</f>
        <v>D</v>
      </c>
      <c r="G98" s="34" t="str">
        <f t="shared" si="1"/>
        <v/>
      </c>
      <c r="H98" s="72"/>
      <c r="I98" s="70"/>
    </row>
    <row r="99" spans="1:9" ht="17.25" thickTop="1" thickBot="1">
      <c r="A99" s="70"/>
      <c r="B99" s="32">
        <v>94</v>
      </c>
      <c r="C99" s="33">
        <f>IF('After Exam Data Entry'!B99="", "", 'After Exam Data Entry'!B99)</f>
        <v>1</v>
      </c>
      <c r="D99" s="33">
        <f>IF(C99="", "", IF('After Exam Data Entry'!C99="", 0, 'After Exam Data Entry'!C99))</f>
        <v>0</v>
      </c>
      <c r="E99" s="33" t="str">
        <f>IF('MCQ TEST SHEET'!G100="", "", 'MCQ TEST SHEET'!G100)</f>
        <v/>
      </c>
      <c r="F99" s="33" t="str">
        <f>IF('After Exam Data Entry'!D99="", "", 'After Exam Data Entry'!D99)</f>
        <v>A</v>
      </c>
      <c r="G99" s="34" t="str">
        <f t="shared" si="1"/>
        <v/>
      </c>
      <c r="H99" s="72"/>
      <c r="I99" s="70"/>
    </row>
    <row r="100" spans="1:9" ht="17.25" thickTop="1" thickBot="1">
      <c r="A100" s="70"/>
      <c r="B100" s="32">
        <v>95</v>
      </c>
      <c r="C100" s="33">
        <f>IF('After Exam Data Entry'!B100="", "", 'After Exam Data Entry'!B100)</f>
        <v>1</v>
      </c>
      <c r="D100" s="33">
        <f>IF(C100="", "", IF('After Exam Data Entry'!C100="", 0, 'After Exam Data Entry'!C100))</f>
        <v>0</v>
      </c>
      <c r="E100" s="33" t="str">
        <f>IF('MCQ TEST SHEET'!G101="", "", 'MCQ TEST SHEET'!G101)</f>
        <v/>
      </c>
      <c r="F100" s="33" t="str">
        <f>IF('After Exam Data Entry'!D100="", "", 'After Exam Data Entry'!D100)</f>
        <v>C</v>
      </c>
      <c r="G100" s="34" t="str">
        <f t="shared" si="1"/>
        <v/>
      </c>
      <c r="H100" s="72"/>
      <c r="I100" s="70"/>
    </row>
    <row r="101" spans="1:9" ht="17.25" thickTop="1" thickBot="1">
      <c r="A101" s="70"/>
      <c r="B101" s="32">
        <v>96</v>
      </c>
      <c r="C101" s="33">
        <f>IF('After Exam Data Entry'!B101="", "", 'After Exam Data Entry'!B101)</f>
        <v>1</v>
      </c>
      <c r="D101" s="33">
        <f>IF(C101="", "", IF('After Exam Data Entry'!C101="", 0, 'After Exam Data Entry'!C101))</f>
        <v>0</v>
      </c>
      <c r="E101" s="33" t="str">
        <f>IF('MCQ TEST SHEET'!G102="", "", 'MCQ TEST SHEET'!G102)</f>
        <v/>
      </c>
      <c r="F101" s="33" t="str">
        <f>IF('After Exam Data Entry'!D101="", "", 'After Exam Data Entry'!D101)</f>
        <v>B</v>
      </c>
      <c r="G101" s="34" t="str">
        <f t="shared" si="1"/>
        <v/>
      </c>
      <c r="H101" s="72"/>
      <c r="I101" s="70"/>
    </row>
    <row r="102" spans="1:9" ht="17.25" thickTop="1" thickBot="1">
      <c r="A102" s="70"/>
      <c r="B102" s="32">
        <v>97</v>
      </c>
      <c r="C102" s="33">
        <f>IF('After Exam Data Entry'!B102="", "", 'After Exam Data Entry'!B102)</f>
        <v>1</v>
      </c>
      <c r="D102" s="33">
        <f>IF(C102="", "", IF('After Exam Data Entry'!C102="", 0, 'After Exam Data Entry'!C102))</f>
        <v>0</v>
      </c>
      <c r="E102" s="33" t="str">
        <f>IF('MCQ TEST SHEET'!G103="", "", 'MCQ TEST SHEET'!G103)</f>
        <v/>
      </c>
      <c r="F102" s="33" t="str">
        <f>IF('After Exam Data Entry'!D102="", "", 'After Exam Data Entry'!D102)</f>
        <v>C</v>
      </c>
      <c r="G102" s="34" t="str">
        <f t="shared" si="1"/>
        <v/>
      </c>
      <c r="H102" s="72"/>
      <c r="I102" s="70"/>
    </row>
    <row r="103" spans="1:9" ht="17.25" thickTop="1" thickBot="1">
      <c r="A103" s="70"/>
      <c r="B103" s="32">
        <v>98</v>
      </c>
      <c r="C103" s="33">
        <f>IF('After Exam Data Entry'!B103="", "", 'After Exam Data Entry'!B103)</f>
        <v>1</v>
      </c>
      <c r="D103" s="33">
        <f>IF(C103="", "", IF('After Exam Data Entry'!C103="", 0, 'After Exam Data Entry'!C103))</f>
        <v>0</v>
      </c>
      <c r="E103" s="33" t="str">
        <f>IF('MCQ TEST SHEET'!G104="", "", 'MCQ TEST SHEET'!G104)</f>
        <v/>
      </c>
      <c r="F103" s="33" t="str">
        <f>IF('After Exam Data Entry'!D103="", "", 'After Exam Data Entry'!D103)</f>
        <v>A</v>
      </c>
      <c r="G103" s="34" t="str">
        <f t="shared" si="1"/>
        <v/>
      </c>
      <c r="H103" s="72"/>
      <c r="I103" s="70"/>
    </row>
    <row r="104" spans="1:9" ht="17.25" thickTop="1" thickBot="1">
      <c r="A104" s="70"/>
      <c r="B104" s="32">
        <v>99</v>
      </c>
      <c r="C104" s="33">
        <f>IF('After Exam Data Entry'!B104="", "", 'After Exam Data Entry'!B104)</f>
        <v>1</v>
      </c>
      <c r="D104" s="33">
        <f>IF(C104="", "", IF('After Exam Data Entry'!C104="", 0, 'After Exam Data Entry'!C104))</f>
        <v>0</v>
      </c>
      <c r="E104" s="33" t="str">
        <f>IF('MCQ TEST SHEET'!G105="", "", 'MCQ TEST SHEET'!G105)</f>
        <v/>
      </c>
      <c r="F104" s="33" t="str">
        <f>IF('After Exam Data Entry'!D104="", "", 'After Exam Data Entry'!D104)</f>
        <v>C</v>
      </c>
      <c r="G104" s="34" t="str">
        <f t="shared" si="1"/>
        <v/>
      </c>
      <c r="H104" s="72"/>
      <c r="I104" s="70"/>
    </row>
    <row r="105" spans="1:9" ht="17.25" thickTop="1" thickBot="1">
      <c r="A105" s="70"/>
      <c r="B105" s="32">
        <v>100</v>
      </c>
      <c r="C105" s="33">
        <f>IF('After Exam Data Entry'!B105="", "", 'After Exam Data Entry'!B105)</f>
        <v>1</v>
      </c>
      <c r="D105" s="33">
        <f>IF(C105="", "", IF('After Exam Data Entry'!C105="", 0, 'After Exam Data Entry'!C105))</f>
        <v>0</v>
      </c>
      <c r="E105" s="33" t="str">
        <f>IF('MCQ TEST SHEET'!G106="", "", 'MCQ TEST SHEET'!G106)</f>
        <v/>
      </c>
      <c r="F105" s="33" t="str">
        <f>IF('After Exam Data Entry'!D105="", "", 'After Exam Data Entry'!D105)</f>
        <v>B</v>
      </c>
      <c r="G105" s="34" t="str">
        <f t="shared" si="1"/>
        <v/>
      </c>
      <c r="H105" s="72"/>
      <c r="I105" s="70"/>
    </row>
    <row r="106" spans="1:9" ht="17.25" thickTop="1" thickBot="1">
      <c r="A106" s="70"/>
      <c r="B106" s="32">
        <v>101</v>
      </c>
      <c r="C106" s="33">
        <f>IF('After Exam Data Entry'!B106="", "", 'After Exam Data Entry'!B106)</f>
        <v>1</v>
      </c>
      <c r="D106" s="33">
        <f>IF(C106="", "", IF('After Exam Data Entry'!C106="", 0, 'After Exam Data Entry'!C106))</f>
        <v>0</v>
      </c>
      <c r="E106" s="33" t="str">
        <f>IF('MCQ TEST SHEET'!G107="", "", 'MCQ TEST SHEET'!G107)</f>
        <v/>
      </c>
      <c r="F106" s="33" t="str">
        <f>IF('After Exam Data Entry'!D106="", "", 'After Exam Data Entry'!D106)</f>
        <v>D</v>
      </c>
      <c r="G106" s="34" t="str">
        <f t="shared" si="1"/>
        <v/>
      </c>
      <c r="H106" s="72"/>
      <c r="I106" s="70"/>
    </row>
    <row r="107" spans="1:9" ht="17.25" thickTop="1" thickBot="1">
      <c r="A107" s="70"/>
      <c r="B107" s="32">
        <v>102</v>
      </c>
      <c r="C107" s="33">
        <f>IF('After Exam Data Entry'!B107="", "", 'After Exam Data Entry'!B107)</f>
        <v>1</v>
      </c>
      <c r="D107" s="33">
        <f>IF(C107="", "", IF('After Exam Data Entry'!C107="", 0, 'After Exam Data Entry'!C107))</f>
        <v>0</v>
      </c>
      <c r="E107" s="33" t="str">
        <f>IF('MCQ TEST SHEET'!G108="", "", 'MCQ TEST SHEET'!G108)</f>
        <v/>
      </c>
      <c r="F107" s="33" t="str">
        <f>IF('After Exam Data Entry'!D107="", "", 'After Exam Data Entry'!D107)</f>
        <v>D</v>
      </c>
      <c r="G107" s="34" t="str">
        <f t="shared" si="1"/>
        <v/>
      </c>
      <c r="H107" s="72"/>
      <c r="I107" s="70"/>
    </row>
    <row r="108" spans="1:9" ht="17.25" thickTop="1" thickBot="1">
      <c r="A108" s="70"/>
      <c r="B108" s="32">
        <v>103</v>
      </c>
      <c r="C108" s="33">
        <f>IF('After Exam Data Entry'!B108="", "", 'After Exam Data Entry'!B108)</f>
        <v>1</v>
      </c>
      <c r="D108" s="33">
        <f>IF(C108="", "", IF('After Exam Data Entry'!C108="", 0, 'After Exam Data Entry'!C108))</f>
        <v>0</v>
      </c>
      <c r="E108" s="33" t="str">
        <f>IF('MCQ TEST SHEET'!G109="", "", 'MCQ TEST SHEET'!G109)</f>
        <v/>
      </c>
      <c r="F108" s="33" t="str">
        <f>IF('After Exam Data Entry'!D108="", "", 'After Exam Data Entry'!D108)</f>
        <v>A</v>
      </c>
      <c r="G108" s="34" t="str">
        <f t="shared" si="1"/>
        <v/>
      </c>
      <c r="H108" s="72"/>
      <c r="I108" s="70"/>
    </row>
    <row r="109" spans="1:9" ht="17.25" thickTop="1" thickBot="1">
      <c r="A109" s="70"/>
      <c r="B109" s="32">
        <v>104</v>
      </c>
      <c r="C109" s="33">
        <f>IF('After Exam Data Entry'!B109="", "", 'After Exam Data Entry'!B109)</f>
        <v>1</v>
      </c>
      <c r="D109" s="33">
        <f>IF(C109="", "", IF('After Exam Data Entry'!C109="", 0, 'After Exam Data Entry'!C109))</f>
        <v>0</v>
      </c>
      <c r="E109" s="33" t="str">
        <f>IF('MCQ TEST SHEET'!G110="", "", 'MCQ TEST SHEET'!G110)</f>
        <v/>
      </c>
      <c r="F109" s="33" t="str">
        <f>IF('After Exam Data Entry'!D109="", "", 'After Exam Data Entry'!D109)</f>
        <v>D</v>
      </c>
      <c r="G109" s="34" t="str">
        <f t="shared" si="1"/>
        <v/>
      </c>
      <c r="H109" s="72"/>
      <c r="I109" s="70"/>
    </row>
    <row r="110" spans="1:9" ht="17.25" thickTop="1" thickBot="1">
      <c r="A110" s="70"/>
      <c r="B110" s="32">
        <v>105</v>
      </c>
      <c r="C110" s="33">
        <f>IF('After Exam Data Entry'!B110="", "", 'After Exam Data Entry'!B110)</f>
        <v>1</v>
      </c>
      <c r="D110" s="33">
        <f>IF(C110="", "", IF('After Exam Data Entry'!C110="", 0, 'After Exam Data Entry'!C110))</f>
        <v>0</v>
      </c>
      <c r="E110" s="33" t="str">
        <f>IF('MCQ TEST SHEET'!G111="", "", 'MCQ TEST SHEET'!G111)</f>
        <v/>
      </c>
      <c r="F110" s="33" t="str">
        <f>IF('After Exam Data Entry'!D110="", "", 'After Exam Data Entry'!D110)</f>
        <v>B</v>
      </c>
      <c r="G110" s="34" t="str">
        <f t="shared" si="1"/>
        <v/>
      </c>
      <c r="H110" s="72"/>
      <c r="I110" s="70"/>
    </row>
    <row r="111" spans="1:9" ht="17.25" thickTop="1" thickBot="1">
      <c r="A111" s="70"/>
      <c r="B111" s="32">
        <v>106</v>
      </c>
      <c r="C111" s="33">
        <f>IF('After Exam Data Entry'!B111="", "", 'After Exam Data Entry'!B111)</f>
        <v>1</v>
      </c>
      <c r="D111" s="33">
        <f>IF(C111="", "", IF('After Exam Data Entry'!C111="", 0, 'After Exam Data Entry'!C111))</f>
        <v>0</v>
      </c>
      <c r="E111" s="33" t="str">
        <f>IF('MCQ TEST SHEET'!G112="", "", 'MCQ TEST SHEET'!G112)</f>
        <v/>
      </c>
      <c r="F111" s="33" t="str">
        <f>IF('After Exam Data Entry'!D111="", "", 'After Exam Data Entry'!D111)</f>
        <v>C</v>
      </c>
      <c r="G111" s="34" t="str">
        <f t="shared" si="1"/>
        <v/>
      </c>
      <c r="H111" s="72"/>
      <c r="I111" s="70"/>
    </row>
    <row r="112" spans="1:9" ht="17.25" thickTop="1" thickBot="1">
      <c r="A112" s="70"/>
      <c r="B112" s="32">
        <v>107</v>
      </c>
      <c r="C112" s="33">
        <f>IF('After Exam Data Entry'!B112="", "", 'After Exam Data Entry'!B112)</f>
        <v>1</v>
      </c>
      <c r="D112" s="33">
        <f>IF(C112="", "", IF('After Exam Data Entry'!C112="", 0, 'After Exam Data Entry'!C112))</f>
        <v>0</v>
      </c>
      <c r="E112" s="33" t="str">
        <f>IF('MCQ TEST SHEET'!G113="", "", 'MCQ TEST SHEET'!G113)</f>
        <v/>
      </c>
      <c r="F112" s="33" t="str">
        <f>IF('After Exam Data Entry'!D112="", "", 'After Exam Data Entry'!D112)</f>
        <v>C</v>
      </c>
      <c r="G112" s="34" t="str">
        <f t="shared" si="1"/>
        <v/>
      </c>
      <c r="H112" s="72"/>
      <c r="I112" s="70"/>
    </row>
    <row r="113" spans="1:9" ht="17.25" thickTop="1" thickBot="1">
      <c r="A113" s="70"/>
      <c r="B113" s="32">
        <v>108</v>
      </c>
      <c r="C113" s="33">
        <f>IF('After Exam Data Entry'!B113="", "", 'After Exam Data Entry'!B113)</f>
        <v>1</v>
      </c>
      <c r="D113" s="33">
        <f>IF(C113="", "", IF('After Exam Data Entry'!C113="", 0, 'After Exam Data Entry'!C113))</f>
        <v>0</v>
      </c>
      <c r="E113" s="33" t="str">
        <f>IF('MCQ TEST SHEET'!G114="", "", 'MCQ TEST SHEET'!G114)</f>
        <v/>
      </c>
      <c r="F113" s="33" t="str">
        <f>IF('After Exam Data Entry'!D113="", "", 'After Exam Data Entry'!D113)</f>
        <v>C</v>
      </c>
      <c r="G113" s="34" t="str">
        <f t="shared" si="1"/>
        <v/>
      </c>
      <c r="H113" s="72"/>
      <c r="I113" s="70"/>
    </row>
    <row r="114" spans="1:9" ht="17.25" thickTop="1" thickBot="1">
      <c r="A114" s="70"/>
      <c r="B114" s="32">
        <v>109</v>
      </c>
      <c r="C114" s="33">
        <f>IF('After Exam Data Entry'!B114="", "", 'After Exam Data Entry'!B114)</f>
        <v>1</v>
      </c>
      <c r="D114" s="33">
        <f>IF(C114="", "", IF('After Exam Data Entry'!C114="", 0, 'After Exam Data Entry'!C114))</f>
        <v>0</v>
      </c>
      <c r="E114" s="33" t="str">
        <f>IF('MCQ TEST SHEET'!G115="", "", 'MCQ TEST SHEET'!G115)</f>
        <v/>
      </c>
      <c r="F114" s="33" t="str">
        <f>IF('After Exam Data Entry'!D114="", "", 'After Exam Data Entry'!D114)</f>
        <v>B</v>
      </c>
      <c r="G114" s="34" t="str">
        <f t="shared" si="1"/>
        <v/>
      </c>
      <c r="H114" s="72"/>
      <c r="I114" s="70"/>
    </row>
    <row r="115" spans="1:9" ht="17.25" thickTop="1" thickBot="1">
      <c r="A115" s="70"/>
      <c r="B115" s="32">
        <v>110</v>
      </c>
      <c r="C115" s="33">
        <f>IF('After Exam Data Entry'!B115="", "", 'After Exam Data Entry'!B115)</f>
        <v>1</v>
      </c>
      <c r="D115" s="33">
        <f>IF(C115="", "", IF('After Exam Data Entry'!C115="", 0, 'After Exam Data Entry'!C115))</f>
        <v>0</v>
      </c>
      <c r="E115" s="33" t="str">
        <f>IF('MCQ TEST SHEET'!G116="", "", 'MCQ TEST SHEET'!G116)</f>
        <v/>
      </c>
      <c r="F115" s="33" t="str">
        <f>IF('After Exam Data Entry'!D115="", "", 'After Exam Data Entry'!D115)</f>
        <v>D</v>
      </c>
      <c r="G115" s="34" t="str">
        <f t="shared" si="1"/>
        <v/>
      </c>
      <c r="H115" s="72"/>
      <c r="I115" s="70"/>
    </row>
    <row r="116" spans="1:9" ht="17.25" thickTop="1" thickBot="1">
      <c r="A116" s="70"/>
      <c r="B116" s="32">
        <v>111</v>
      </c>
      <c r="C116" s="33">
        <f>IF('After Exam Data Entry'!B116="", "", 'After Exam Data Entry'!B116)</f>
        <v>1</v>
      </c>
      <c r="D116" s="33">
        <f>IF(C116="", "", IF('After Exam Data Entry'!C116="", 0, 'After Exam Data Entry'!C116))</f>
        <v>0</v>
      </c>
      <c r="E116" s="33" t="str">
        <f>IF('MCQ TEST SHEET'!G117="", "", 'MCQ TEST SHEET'!G117)</f>
        <v/>
      </c>
      <c r="F116" s="33" t="str">
        <f>IF('After Exam Data Entry'!D116="", "", 'After Exam Data Entry'!D116)</f>
        <v>A</v>
      </c>
      <c r="G116" s="34" t="str">
        <f t="shared" si="1"/>
        <v/>
      </c>
      <c r="H116" s="72"/>
      <c r="I116" s="70"/>
    </row>
    <row r="117" spans="1:9" ht="17.25" thickTop="1" thickBot="1">
      <c r="A117" s="70"/>
      <c r="B117" s="32">
        <v>112</v>
      </c>
      <c r="C117" s="33">
        <f>IF('After Exam Data Entry'!B117="", "", 'After Exam Data Entry'!B117)</f>
        <v>1</v>
      </c>
      <c r="D117" s="33">
        <f>IF(C117="", "", IF('After Exam Data Entry'!C117="", 0, 'After Exam Data Entry'!C117))</f>
        <v>0</v>
      </c>
      <c r="E117" s="33" t="str">
        <f>IF('MCQ TEST SHEET'!G118="", "", 'MCQ TEST SHEET'!G118)</f>
        <v/>
      </c>
      <c r="F117" s="33" t="str">
        <f>IF('After Exam Data Entry'!D117="", "", 'After Exam Data Entry'!D117)</f>
        <v>C</v>
      </c>
      <c r="G117" s="34" t="str">
        <f t="shared" si="1"/>
        <v/>
      </c>
      <c r="H117" s="72"/>
      <c r="I117" s="70"/>
    </row>
    <row r="118" spans="1:9" ht="17.25" thickTop="1" thickBot="1">
      <c r="A118" s="70"/>
      <c r="B118" s="32">
        <v>113</v>
      </c>
      <c r="C118" s="33">
        <f>IF('After Exam Data Entry'!B118="", "", 'After Exam Data Entry'!B118)</f>
        <v>1</v>
      </c>
      <c r="D118" s="33">
        <f>IF(C118="", "", IF('After Exam Data Entry'!C118="", 0, 'After Exam Data Entry'!C118))</f>
        <v>0</v>
      </c>
      <c r="E118" s="33" t="str">
        <f>IF('MCQ TEST SHEET'!G119="", "", 'MCQ TEST SHEET'!G119)</f>
        <v/>
      </c>
      <c r="F118" s="33" t="str">
        <f>IF('After Exam Data Entry'!D118="", "", 'After Exam Data Entry'!D118)</f>
        <v>A</v>
      </c>
      <c r="G118" s="34" t="str">
        <f t="shared" si="1"/>
        <v/>
      </c>
      <c r="H118" s="72"/>
      <c r="I118" s="70"/>
    </row>
    <row r="119" spans="1:9" ht="17.25" thickTop="1" thickBot="1">
      <c r="A119" s="70"/>
      <c r="B119" s="32">
        <v>114</v>
      </c>
      <c r="C119" s="33">
        <f>IF('After Exam Data Entry'!B119="", "", 'After Exam Data Entry'!B119)</f>
        <v>1</v>
      </c>
      <c r="D119" s="33">
        <f>IF(C119="", "", IF('After Exam Data Entry'!C119="", 0, 'After Exam Data Entry'!C119))</f>
        <v>0</v>
      </c>
      <c r="E119" s="33" t="str">
        <f>IF('MCQ TEST SHEET'!G120="", "", 'MCQ TEST SHEET'!G120)</f>
        <v/>
      </c>
      <c r="F119" s="33" t="str">
        <f>IF('After Exam Data Entry'!D119="", "", 'After Exam Data Entry'!D119)</f>
        <v>B</v>
      </c>
      <c r="G119" s="34" t="str">
        <f t="shared" si="1"/>
        <v/>
      </c>
      <c r="H119" s="72"/>
      <c r="I119" s="70"/>
    </row>
    <row r="120" spans="1:9" ht="17.25" thickTop="1" thickBot="1">
      <c r="A120" s="70"/>
      <c r="B120" s="32">
        <v>115</v>
      </c>
      <c r="C120" s="33">
        <f>IF('After Exam Data Entry'!B120="", "", 'After Exam Data Entry'!B120)</f>
        <v>1</v>
      </c>
      <c r="D120" s="33">
        <f>IF(C120="", "", IF('After Exam Data Entry'!C120="", 0, 'After Exam Data Entry'!C120))</f>
        <v>0</v>
      </c>
      <c r="E120" s="33" t="str">
        <f>IF('MCQ TEST SHEET'!G121="", "", 'MCQ TEST SHEET'!G121)</f>
        <v/>
      </c>
      <c r="F120" s="33" t="str">
        <f>IF('After Exam Data Entry'!D120="", "", 'After Exam Data Entry'!D120)</f>
        <v>D</v>
      </c>
      <c r="G120" s="34" t="str">
        <f t="shared" si="1"/>
        <v/>
      </c>
      <c r="H120" s="72"/>
      <c r="I120" s="70"/>
    </row>
    <row r="121" spans="1:9" ht="17.25" thickTop="1" thickBot="1">
      <c r="A121" s="70"/>
      <c r="B121" s="32">
        <v>116</v>
      </c>
      <c r="C121" s="33">
        <f>IF('After Exam Data Entry'!B121="", "", 'After Exam Data Entry'!B121)</f>
        <v>1</v>
      </c>
      <c r="D121" s="33">
        <f>IF(C121="", "", IF('After Exam Data Entry'!C121="", 0, 'After Exam Data Entry'!C121))</f>
        <v>0</v>
      </c>
      <c r="E121" s="33" t="str">
        <f>IF('MCQ TEST SHEET'!G122="", "", 'MCQ TEST SHEET'!G122)</f>
        <v/>
      </c>
      <c r="F121" s="33" t="str">
        <f>IF('After Exam Data Entry'!D121="", "", 'After Exam Data Entry'!D121)</f>
        <v>D</v>
      </c>
      <c r="G121" s="34" t="str">
        <f t="shared" si="1"/>
        <v/>
      </c>
      <c r="H121" s="72"/>
      <c r="I121" s="70"/>
    </row>
    <row r="122" spans="1:9" ht="17.25" thickTop="1" thickBot="1">
      <c r="A122" s="70"/>
      <c r="B122" s="32">
        <v>117</v>
      </c>
      <c r="C122" s="33">
        <f>IF('After Exam Data Entry'!B122="", "", 'After Exam Data Entry'!B122)</f>
        <v>1</v>
      </c>
      <c r="D122" s="33">
        <f>IF(C122="", "", IF('After Exam Data Entry'!C122="", 0, 'After Exam Data Entry'!C122))</f>
        <v>0</v>
      </c>
      <c r="E122" s="33" t="str">
        <f>IF('MCQ TEST SHEET'!G123="", "", 'MCQ TEST SHEET'!G123)</f>
        <v/>
      </c>
      <c r="F122" s="33" t="str">
        <f>IF('After Exam Data Entry'!D122="", "", 'After Exam Data Entry'!D122)</f>
        <v>C</v>
      </c>
      <c r="G122" s="34" t="str">
        <f t="shared" si="1"/>
        <v/>
      </c>
      <c r="H122" s="72"/>
      <c r="I122" s="70"/>
    </row>
    <row r="123" spans="1:9" ht="17.25" thickTop="1" thickBot="1">
      <c r="A123" s="70"/>
      <c r="B123" s="32">
        <v>118</v>
      </c>
      <c r="C123" s="33">
        <f>IF('After Exam Data Entry'!B123="", "", 'After Exam Data Entry'!B123)</f>
        <v>1</v>
      </c>
      <c r="D123" s="33">
        <f>IF(C123="", "", IF('After Exam Data Entry'!C123="", 0, 'After Exam Data Entry'!C123))</f>
        <v>0</v>
      </c>
      <c r="E123" s="33" t="str">
        <f>IF('MCQ TEST SHEET'!G124="", "", 'MCQ TEST SHEET'!G124)</f>
        <v/>
      </c>
      <c r="F123" s="33" t="str">
        <f>IF('After Exam Data Entry'!D123="", "", 'After Exam Data Entry'!D123)</f>
        <v>D</v>
      </c>
      <c r="G123" s="34" t="str">
        <f t="shared" si="1"/>
        <v/>
      </c>
      <c r="H123" s="72"/>
      <c r="I123" s="70"/>
    </row>
    <row r="124" spans="1:9" ht="17.25" thickTop="1" thickBot="1">
      <c r="A124" s="70"/>
      <c r="B124" s="32">
        <v>119</v>
      </c>
      <c r="C124" s="33">
        <f>IF('After Exam Data Entry'!B124="", "", 'After Exam Data Entry'!B124)</f>
        <v>1</v>
      </c>
      <c r="D124" s="33">
        <f>IF(C124="", "", IF('After Exam Data Entry'!C124="", 0, 'After Exam Data Entry'!C124))</f>
        <v>0</v>
      </c>
      <c r="E124" s="33" t="str">
        <f>IF('MCQ TEST SHEET'!G125="", "", 'MCQ TEST SHEET'!G125)</f>
        <v/>
      </c>
      <c r="F124" s="33" t="str">
        <f>IF('After Exam Data Entry'!D124="", "", 'After Exam Data Entry'!D124)</f>
        <v>C</v>
      </c>
      <c r="G124" s="34" t="str">
        <f t="shared" si="1"/>
        <v/>
      </c>
      <c r="H124" s="72"/>
      <c r="I124" s="70"/>
    </row>
    <row r="125" spans="1:9" ht="17.25" thickTop="1" thickBot="1">
      <c r="A125" s="70"/>
      <c r="B125" s="32">
        <v>120</v>
      </c>
      <c r="C125" s="33">
        <f>IF('After Exam Data Entry'!B125="", "", 'After Exam Data Entry'!B125)</f>
        <v>1</v>
      </c>
      <c r="D125" s="33">
        <f>IF(C125="", "", IF('After Exam Data Entry'!C125="", 0, 'After Exam Data Entry'!C125))</f>
        <v>0</v>
      </c>
      <c r="E125" s="33" t="str">
        <f>IF('MCQ TEST SHEET'!G126="", "", 'MCQ TEST SHEET'!G126)</f>
        <v/>
      </c>
      <c r="F125" s="33" t="str">
        <f>IF('After Exam Data Entry'!D125="", "", 'After Exam Data Entry'!D125)</f>
        <v>A</v>
      </c>
      <c r="G125" s="34" t="str">
        <f t="shared" si="1"/>
        <v/>
      </c>
      <c r="H125" s="72"/>
      <c r="I125" s="70"/>
    </row>
    <row r="126" spans="1:9" ht="17.25" thickTop="1" thickBot="1">
      <c r="A126" s="70"/>
      <c r="B126" s="32">
        <v>121</v>
      </c>
      <c r="C126" s="33">
        <f>IF('After Exam Data Entry'!B126="", "", 'After Exam Data Entry'!B126)</f>
        <v>1</v>
      </c>
      <c r="D126" s="33">
        <f>IF(C126="", "", IF('After Exam Data Entry'!C126="", 0, 'After Exam Data Entry'!C126))</f>
        <v>0</v>
      </c>
      <c r="E126" s="33" t="str">
        <f>IF('MCQ TEST SHEET'!G127="", "", 'MCQ TEST SHEET'!G127)</f>
        <v/>
      </c>
      <c r="F126" s="33" t="str">
        <f>IF('After Exam Data Entry'!D126="", "", 'After Exam Data Entry'!D126)</f>
        <v>D</v>
      </c>
      <c r="G126" s="34" t="str">
        <f t="shared" si="1"/>
        <v/>
      </c>
      <c r="H126" s="72"/>
      <c r="I126" s="70"/>
    </row>
    <row r="127" spans="1:9" ht="17.25" thickTop="1" thickBot="1">
      <c r="A127" s="70"/>
      <c r="B127" s="32">
        <v>122</v>
      </c>
      <c r="C127" s="33">
        <f>IF('After Exam Data Entry'!B127="", "", 'After Exam Data Entry'!B127)</f>
        <v>1</v>
      </c>
      <c r="D127" s="33">
        <f>IF(C127="", "", IF('After Exam Data Entry'!C127="", 0, 'After Exam Data Entry'!C127))</f>
        <v>0</v>
      </c>
      <c r="E127" s="33" t="str">
        <f>IF('MCQ TEST SHEET'!G128="", "", 'MCQ TEST SHEET'!G128)</f>
        <v/>
      </c>
      <c r="F127" s="33" t="str">
        <f>IF('After Exam Data Entry'!D127="", "", 'After Exam Data Entry'!D127)</f>
        <v>A</v>
      </c>
      <c r="G127" s="34" t="str">
        <f t="shared" si="1"/>
        <v/>
      </c>
      <c r="H127" s="72"/>
      <c r="I127" s="70"/>
    </row>
    <row r="128" spans="1:9" ht="17.25" thickTop="1" thickBot="1">
      <c r="A128" s="70"/>
      <c r="B128" s="32">
        <v>123</v>
      </c>
      <c r="C128" s="33">
        <f>IF('After Exam Data Entry'!B128="", "", 'After Exam Data Entry'!B128)</f>
        <v>1</v>
      </c>
      <c r="D128" s="33">
        <f>IF(C128="", "", IF('After Exam Data Entry'!C128="", 0, 'After Exam Data Entry'!C128))</f>
        <v>0</v>
      </c>
      <c r="E128" s="33" t="str">
        <f>IF('MCQ TEST SHEET'!G129="", "", 'MCQ TEST SHEET'!G129)</f>
        <v/>
      </c>
      <c r="F128" s="33" t="str">
        <f>IF('After Exam Data Entry'!D128="", "", 'After Exam Data Entry'!D128)</f>
        <v>A</v>
      </c>
      <c r="G128" s="34" t="str">
        <f t="shared" si="1"/>
        <v/>
      </c>
      <c r="H128" s="72"/>
      <c r="I128" s="70"/>
    </row>
    <row r="129" spans="1:9" ht="17.25" thickTop="1" thickBot="1">
      <c r="A129" s="70"/>
      <c r="B129" s="32">
        <v>124</v>
      </c>
      <c r="C129" s="33">
        <f>IF('After Exam Data Entry'!B129="", "", 'After Exam Data Entry'!B129)</f>
        <v>1</v>
      </c>
      <c r="D129" s="33">
        <f>IF(C129="", "", IF('After Exam Data Entry'!C129="", 0, 'After Exam Data Entry'!C129))</f>
        <v>0</v>
      </c>
      <c r="E129" s="33" t="str">
        <f>IF('MCQ TEST SHEET'!G130="", "", 'MCQ TEST SHEET'!G130)</f>
        <v/>
      </c>
      <c r="F129" s="33" t="str">
        <f>IF('After Exam Data Entry'!D129="", "", 'After Exam Data Entry'!D129)</f>
        <v>B</v>
      </c>
      <c r="G129" s="34" t="str">
        <f t="shared" si="1"/>
        <v/>
      </c>
      <c r="H129" s="72"/>
      <c r="I129" s="70"/>
    </row>
    <row r="130" spans="1:9" ht="17.25" thickTop="1" thickBot="1">
      <c r="A130" s="70"/>
      <c r="B130" s="32">
        <v>125</v>
      </c>
      <c r="C130" s="33">
        <f>IF('After Exam Data Entry'!B130="", "", 'After Exam Data Entry'!B130)</f>
        <v>1</v>
      </c>
      <c r="D130" s="33">
        <f>IF(C130="", "", IF('After Exam Data Entry'!C130="", 0, 'After Exam Data Entry'!C130))</f>
        <v>0</v>
      </c>
      <c r="E130" s="33" t="str">
        <f>IF('MCQ TEST SHEET'!G131="", "", 'MCQ TEST SHEET'!G131)</f>
        <v/>
      </c>
      <c r="F130" s="33" t="str">
        <f>IF('After Exam Data Entry'!D130="", "", 'After Exam Data Entry'!D130)</f>
        <v>D</v>
      </c>
      <c r="G130" s="34" t="str">
        <f t="shared" si="1"/>
        <v/>
      </c>
      <c r="H130" s="72"/>
      <c r="I130" s="70"/>
    </row>
    <row r="131" spans="1:9" ht="17.25" thickTop="1" thickBot="1">
      <c r="A131" s="70"/>
      <c r="B131" s="32">
        <v>126</v>
      </c>
      <c r="C131" s="33">
        <f>IF('After Exam Data Entry'!B131="", "", 'After Exam Data Entry'!B131)</f>
        <v>1</v>
      </c>
      <c r="D131" s="33">
        <f>IF(C131="", "", IF('After Exam Data Entry'!C131="", 0, 'After Exam Data Entry'!C131))</f>
        <v>0</v>
      </c>
      <c r="E131" s="33" t="str">
        <f>IF('MCQ TEST SHEET'!G132="", "", 'MCQ TEST SHEET'!G132)</f>
        <v/>
      </c>
      <c r="F131" s="33" t="str">
        <f>IF('After Exam Data Entry'!D131="", "", 'After Exam Data Entry'!D131)</f>
        <v>A</v>
      </c>
      <c r="G131" s="34" t="str">
        <f t="shared" si="1"/>
        <v/>
      </c>
      <c r="H131" s="72"/>
      <c r="I131" s="70"/>
    </row>
    <row r="132" spans="1:9" ht="17.25" thickTop="1" thickBot="1">
      <c r="A132" s="70"/>
      <c r="B132" s="32">
        <v>127</v>
      </c>
      <c r="C132" s="33">
        <f>IF('After Exam Data Entry'!B132="", "", 'After Exam Data Entry'!B132)</f>
        <v>1</v>
      </c>
      <c r="D132" s="33">
        <f>IF(C132="", "", IF('After Exam Data Entry'!C132="", 0, 'After Exam Data Entry'!C132))</f>
        <v>0</v>
      </c>
      <c r="E132" s="33" t="str">
        <f>IF('MCQ TEST SHEET'!G133="", "", 'MCQ TEST SHEET'!G133)</f>
        <v/>
      </c>
      <c r="F132" s="33" t="str">
        <f>IF('After Exam Data Entry'!D132="", "", 'After Exam Data Entry'!D132)</f>
        <v>A</v>
      </c>
      <c r="G132" s="34" t="str">
        <f t="shared" ref="G132:G155" si="2">IF(F132="", "", IF(E132="", "", IF(E132=F132, C132, D132)))</f>
        <v/>
      </c>
      <c r="H132" s="72"/>
      <c r="I132" s="70"/>
    </row>
    <row r="133" spans="1:9" ht="17.25" thickTop="1" thickBot="1">
      <c r="A133" s="70"/>
      <c r="B133" s="32">
        <v>128</v>
      </c>
      <c r="C133" s="33">
        <f>IF('After Exam Data Entry'!B133="", "", 'After Exam Data Entry'!B133)</f>
        <v>1</v>
      </c>
      <c r="D133" s="33">
        <f>IF(C133="", "", IF('After Exam Data Entry'!C133="", 0, 'After Exam Data Entry'!C133))</f>
        <v>0</v>
      </c>
      <c r="E133" s="33" t="str">
        <f>IF('MCQ TEST SHEET'!G134="", "", 'MCQ TEST SHEET'!G134)</f>
        <v/>
      </c>
      <c r="F133" s="33" t="str">
        <f>IF('After Exam Data Entry'!D133="", "", 'After Exam Data Entry'!D133)</f>
        <v>C</v>
      </c>
      <c r="G133" s="34" t="str">
        <f t="shared" si="2"/>
        <v/>
      </c>
      <c r="H133" s="72"/>
      <c r="I133" s="70"/>
    </row>
    <row r="134" spans="1:9" ht="17.25" thickTop="1" thickBot="1">
      <c r="A134" s="70"/>
      <c r="B134" s="32">
        <v>129</v>
      </c>
      <c r="C134" s="33">
        <f>IF('After Exam Data Entry'!B134="", "", 'After Exam Data Entry'!B134)</f>
        <v>1</v>
      </c>
      <c r="D134" s="33">
        <f>IF(C134="", "", IF('After Exam Data Entry'!C134="", 0, 'After Exam Data Entry'!C134))</f>
        <v>0</v>
      </c>
      <c r="E134" s="33" t="str">
        <f>IF('MCQ TEST SHEET'!G135="", "", 'MCQ TEST SHEET'!G135)</f>
        <v/>
      </c>
      <c r="F134" s="33" t="str">
        <f>IF('After Exam Data Entry'!D134="", "", 'After Exam Data Entry'!D134)</f>
        <v>B</v>
      </c>
      <c r="G134" s="34" t="str">
        <f t="shared" si="2"/>
        <v/>
      </c>
      <c r="H134" s="72"/>
      <c r="I134" s="70"/>
    </row>
    <row r="135" spans="1:9" ht="17.25" thickTop="1" thickBot="1">
      <c r="A135" s="70"/>
      <c r="B135" s="32">
        <v>130</v>
      </c>
      <c r="C135" s="33">
        <f>IF('After Exam Data Entry'!B135="", "", 'After Exam Data Entry'!B135)</f>
        <v>1</v>
      </c>
      <c r="D135" s="33">
        <f>IF(C135="", "", IF('After Exam Data Entry'!C135="", 0, 'After Exam Data Entry'!C135))</f>
        <v>0</v>
      </c>
      <c r="E135" s="33" t="str">
        <f>IF('MCQ TEST SHEET'!G136="", "", 'MCQ TEST SHEET'!G136)</f>
        <v/>
      </c>
      <c r="F135" s="33" t="str">
        <f>IF('After Exam Data Entry'!D135="", "", 'After Exam Data Entry'!D135)</f>
        <v>B</v>
      </c>
      <c r="G135" s="34" t="str">
        <f t="shared" si="2"/>
        <v/>
      </c>
      <c r="H135" s="72"/>
      <c r="I135" s="70"/>
    </row>
    <row r="136" spans="1:9" ht="17.25" thickTop="1" thickBot="1">
      <c r="A136" s="70"/>
      <c r="B136" s="32">
        <v>131</v>
      </c>
      <c r="C136" s="33">
        <f>IF('After Exam Data Entry'!B136="", "", 'After Exam Data Entry'!B136)</f>
        <v>1</v>
      </c>
      <c r="D136" s="33">
        <f>IF(C136="", "", IF('After Exam Data Entry'!C136="", 0, 'After Exam Data Entry'!C136))</f>
        <v>0</v>
      </c>
      <c r="E136" s="33" t="str">
        <f>IF('MCQ TEST SHEET'!G137="", "", 'MCQ TEST SHEET'!G137)</f>
        <v/>
      </c>
      <c r="F136" s="33" t="str">
        <f>IF('After Exam Data Entry'!D136="", "", 'After Exam Data Entry'!D136)</f>
        <v>B</v>
      </c>
      <c r="G136" s="34" t="str">
        <f t="shared" si="2"/>
        <v/>
      </c>
      <c r="H136" s="72"/>
      <c r="I136" s="70"/>
    </row>
    <row r="137" spans="1:9" ht="17.25" thickTop="1" thickBot="1">
      <c r="A137" s="70"/>
      <c r="B137" s="32">
        <v>132</v>
      </c>
      <c r="C137" s="33">
        <f>IF('After Exam Data Entry'!B137="", "", 'After Exam Data Entry'!B137)</f>
        <v>1</v>
      </c>
      <c r="D137" s="33">
        <f>IF(C137="", "", IF('After Exam Data Entry'!C137="", 0, 'After Exam Data Entry'!C137))</f>
        <v>0</v>
      </c>
      <c r="E137" s="33" t="str">
        <f>IF('MCQ TEST SHEET'!G138="", "", 'MCQ TEST SHEET'!G138)</f>
        <v/>
      </c>
      <c r="F137" s="33" t="str">
        <f>IF('After Exam Data Entry'!D137="", "", 'After Exam Data Entry'!D137)</f>
        <v>B</v>
      </c>
      <c r="G137" s="34" t="str">
        <f t="shared" si="2"/>
        <v/>
      </c>
      <c r="H137" s="72"/>
      <c r="I137" s="70"/>
    </row>
    <row r="138" spans="1:9" ht="17.25" thickTop="1" thickBot="1">
      <c r="A138" s="70"/>
      <c r="B138" s="32">
        <v>133</v>
      </c>
      <c r="C138" s="33">
        <f>IF('After Exam Data Entry'!B138="", "", 'After Exam Data Entry'!B138)</f>
        <v>1</v>
      </c>
      <c r="D138" s="33">
        <f>IF(C138="", "", IF('After Exam Data Entry'!C138="", 0, 'After Exam Data Entry'!C138))</f>
        <v>0</v>
      </c>
      <c r="E138" s="33" t="str">
        <f>IF('MCQ TEST SHEET'!G139="", "", 'MCQ TEST SHEET'!G139)</f>
        <v/>
      </c>
      <c r="F138" s="33" t="str">
        <f>IF('After Exam Data Entry'!D138="", "", 'After Exam Data Entry'!D138)</f>
        <v>B</v>
      </c>
      <c r="G138" s="34" t="str">
        <f t="shared" si="2"/>
        <v/>
      </c>
      <c r="H138" s="72"/>
      <c r="I138" s="70"/>
    </row>
    <row r="139" spans="1:9" ht="17.25" thickTop="1" thickBot="1">
      <c r="A139" s="70"/>
      <c r="B139" s="32">
        <v>134</v>
      </c>
      <c r="C139" s="33">
        <f>IF('After Exam Data Entry'!B139="", "", 'After Exam Data Entry'!B139)</f>
        <v>1</v>
      </c>
      <c r="D139" s="33">
        <f>IF(C139="", "", IF('After Exam Data Entry'!C139="", 0, 'After Exam Data Entry'!C139))</f>
        <v>0</v>
      </c>
      <c r="E139" s="33" t="str">
        <f>IF('MCQ TEST SHEET'!G140="", "", 'MCQ TEST SHEET'!G140)</f>
        <v/>
      </c>
      <c r="F139" s="33" t="str">
        <f>IF('After Exam Data Entry'!D139="", "", 'After Exam Data Entry'!D139)</f>
        <v>C</v>
      </c>
      <c r="G139" s="34" t="str">
        <f t="shared" si="2"/>
        <v/>
      </c>
      <c r="H139" s="72"/>
      <c r="I139" s="70"/>
    </row>
    <row r="140" spans="1:9" ht="17.25" thickTop="1" thickBot="1">
      <c r="A140" s="70"/>
      <c r="B140" s="32">
        <v>135</v>
      </c>
      <c r="C140" s="33">
        <f>IF('After Exam Data Entry'!B140="", "", 'After Exam Data Entry'!B140)</f>
        <v>1</v>
      </c>
      <c r="D140" s="33">
        <f>IF(C140="", "", IF('After Exam Data Entry'!C140="", 0, 'After Exam Data Entry'!C140))</f>
        <v>0</v>
      </c>
      <c r="E140" s="33" t="str">
        <f>IF('MCQ TEST SHEET'!G141="", "", 'MCQ TEST SHEET'!G141)</f>
        <v/>
      </c>
      <c r="F140" s="33" t="str">
        <f>IF('After Exam Data Entry'!D140="", "", 'After Exam Data Entry'!D140)</f>
        <v>C</v>
      </c>
      <c r="G140" s="34" t="str">
        <f t="shared" si="2"/>
        <v/>
      </c>
      <c r="H140" s="72"/>
      <c r="I140" s="70"/>
    </row>
    <row r="141" spans="1:9" ht="17.25" thickTop="1" thickBot="1">
      <c r="A141" s="70"/>
      <c r="B141" s="32">
        <v>136</v>
      </c>
      <c r="C141" s="33">
        <f>IF('After Exam Data Entry'!B141="", "", 'After Exam Data Entry'!B141)</f>
        <v>1</v>
      </c>
      <c r="D141" s="33">
        <f>IF(C141="", "", IF('After Exam Data Entry'!C141="", 0, 'After Exam Data Entry'!C141))</f>
        <v>0</v>
      </c>
      <c r="E141" s="33" t="str">
        <f>IF('MCQ TEST SHEET'!G142="", "", 'MCQ TEST SHEET'!G142)</f>
        <v/>
      </c>
      <c r="F141" s="33" t="str">
        <f>IF('After Exam Data Entry'!D141="", "", 'After Exam Data Entry'!D141)</f>
        <v>C</v>
      </c>
      <c r="G141" s="34" t="str">
        <f t="shared" si="2"/>
        <v/>
      </c>
      <c r="H141" s="72"/>
      <c r="I141" s="70"/>
    </row>
    <row r="142" spans="1:9" ht="17.25" thickTop="1" thickBot="1">
      <c r="A142" s="70"/>
      <c r="B142" s="32">
        <v>137</v>
      </c>
      <c r="C142" s="33">
        <f>IF('After Exam Data Entry'!B142="", "", 'After Exam Data Entry'!B142)</f>
        <v>1</v>
      </c>
      <c r="D142" s="33">
        <f>IF(C142="", "", IF('After Exam Data Entry'!C142="", 0, 'After Exam Data Entry'!C142))</f>
        <v>0</v>
      </c>
      <c r="E142" s="33" t="str">
        <f>IF('MCQ TEST SHEET'!G143="", "", 'MCQ TEST SHEET'!G143)</f>
        <v/>
      </c>
      <c r="F142" s="33" t="str">
        <f>IF('After Exam Data Entry'!D142="", "", 'After Exam Data Entry'!D142)</f>
        <v>C</v>
      </c>
      <c r="G142" s="34" t="str">
        <f t="shared" si="2"/>
        <v/>
      </c>
      <c r="H142" s="72"/>
      <c r="I142" s="70"/>
    </row>
    <row r="143" spans="1:9" ht="17.25" thickTop="1" thickBot="1">
      <c r="A143" s="70"/>
      <c r="B143" s="32">
        <v>138</v>
      </c>
      <c r="C143" s="33">
        <f>IF('After Exam Data Entry'!B143="", "", 'After Exam Data Entry'!B143)</f>
        <v>1</v>
      </c>
      <c r="D143" s="33">
        <f>IF(C143="", "", IF('After Exam Data Entry'!C143="", 0, 'After Exam Data Entry'!C143))</f>
        <v>0</v>
      </c>
      <c r="E143" s="33" t="str">
        <f>IF('MCQ TEST SHEET'!G144="", "", 'MCQ TEST SHEET'!G144)</f>
        <v/>
      </c>
      <c r="F143" s="33" t="str">
        <f>IF('After Exam Data Entry'!D143="", "", 'After Exam Data Entry'!D143)</f>
        <v>C</v>
      </c>
      <c r="G143" s="34" t="str">
        <f t="shared" si="2"/>
        <v/>
      </c>
      <c r="H143" s="72"/>
      <c r="I143" s="70"/>
    </row>
    <row r="144" spans="1:9" ht="17.25" thickTop="1" thickBot="1">
      <c r="A144" s="70"/>
      <c r="B144" s="32">
        <v>139</v>
      </c>
      <c r="C144" s="33">
        <f>IF('After Exam Data Entry'!B144="", "", 'After Exam Data Entry'!B144)</f>
        <v>1</v>
      </c>
      <c r="D144" s="33">
        <f>IF(C144="", "", IF('After Exam Data Entry'!C144="", 0, 'After Exam Data Entry'!C144))</f>
        <v>0</v>
      </c>
      <c r="E144" s="33" t="str">
        <f>IF('MCQ TEST SHEET'!G145="", "", 'MCQ TEST SHEET'!G145)</f>
        <v/>
      </c>
      <c r="F144" s="33" t="str">
        <f>IF('After Exam Data Entry'!D144="", "", 'After Exam Data Entry'!D144)</f>
        <v>C</v>
      </c>
      <c r="G144" s="34" t="str">
        <f t="shared" si="2"/>
        <v/>
      </c>
      <c r="H144" s="72"/>
      <c r="I144" s="70"/>
    </row>
    <row r="145" spans="1:10" ht="17.25" thickTop="1" thickBot="1">
      <c r="A145" s="70"/>
      <c r="B145" s="32">
        <v>140</v>
      </c>
      <c r="C145" s="33">
        <f>IF('After Exam Data Entry'!B145="", "", 'After Exam Data Entry'!B145)</f>
        <v>1</v>
      </c>
      <c r="D145" s="33">
        <f>IF(C145="", "", IF('After Exam Data Entry'!C145="", 0, 'After Exam Data Entry'!C145))</f>
        <v>0</v>
      </c>
      <c r="E145" s="33" t="str">
        <f>IF('MCQ TEST SHEET'!G146="", "", 'MCQ TEST SHEET'!G146)</f>
        <v/>
      </c>
      <c r="F145" s="33" t="str">
        <f>IF('After Exam Data Entry'!D145="", "", 'After Exam Data Entry'!D145)</f>
        <v>C</v>
      </c>
      <c r="G145" s="34" t="str">
        <f t="shared" si="2"/>
        <v/>
      </c>
      <c r="H145" s="72"/>
      <c r="I145" s="70"/>
    </row>
    <row r="146" spans="1:10" ht="17.25" thickTop="1" thickBot="1">
      <c r="A146" s="70"/>
      <c r="B146" s="32">
        <v>141</v>
      </c>
      <c r="C146" s="33">
        <f>IF('After Exam Data Entry'!B146="", "", 'After Exam Data Entry'!B146)</f>
        <v>1</v>
      </c>
      <c r="D146" s="33">
        <f>IF(C146="", "", IF('After Exam Data Entry'!C146="", 0, 'After Exam Data Entry'!C146))</f>
        <v>0</v>
      </c>
      <c r="E146" s="33" t="str">
        <f>IF('MCQ TEST SHEET'!G147="", "", 'MCQ TEST SHEET'!G147)</f>
        <v/>
      </c>
      <c r="F146" s="33" t="str">
        <f>IF('After Exam Data Entry'!D146="", "", 'After Exam Data Entry'!D146)</f>
        <v>D</v>
      </c>
      <c r="G146" s="34" t="str">
        <f t="shared" si="2"/>
        <v/>
      </c>
      <c r="H146" s="72"/>
      <c r="I146" s="70"/>
    </row>
    <row r="147" spans="1:10" ht="17.25" thickTop="1" thickBot="1">
      <c r="A147" s="70"/>
      <c r="B147" s="32">
        <v>142</v>
      </c>
      <c r="C147" s="33">
        <f>IF('After Exam Data Entry'!B147="", "", 'After Exam Data Entry'!B147)</f>
        <v>1</v>
      </c>
      <c r="D147" s="33">
        <f>IF(C147="", "", IF('After Exam Data Entry'!C147="", 0, 'After Exam Data Entry'!C147))</f>
        <v>0</v>
      </c>
      <c r="E147" s="33" t="str">
        <f>IF('MCQ TEST SHEET'!G148="", "", 'MCQ TEST SHEET'!G148)</f>
        <v/>
      </c>
      <c r="F147" s="33" t="str">
        <f>IF('After Exam Data Entry'!D147="", "", 'After Exam Data Entry'!D147)</f>
        <v>D</v>
      </c>
      <c r="G147" s="34" t="str">
        <f t="shared" si="2"/>
        <v/>
      </c>
      <c r="H147" s="72"/>
      <c r="I147" s="70"/>
    </row>
    <row r="148" spans="1:10" ht="17.25" thickTop="1" thickBot="1">
      <c r="A148" s="70"/>
      <c r="B148" s="32">
        <v>143</v>
      </c>
      <c r="C148" s="33">
        <f>IF('After Exam Data Entry'!B148="", "", 'After Exam Data Entry'!B148)</f>
        <v>1</v>
      </c>
      <c r="D148" s="33">
        <f>IF(C148="", "", IF('After Exam Data Entry'!C148="", 0, 'After Exam Data Entry'!C148))</f>
        <v>0</v>
      </c>
      <c r="E148" s="33" t="str">
        <f>IF('MCQ TEST SHEET'!G149="", "", 'MCQ TEST SHEET'!G149)</f>
        <v/>
      </c>
      <c r="F148" s="33" t="str">
        <f>IF('After Exam Data Entry'!D148="", "", 'After Exam Data Entry'!D148)</f>
        <v>A</v>
      </c>
      <c r="G148" s="34" t="str">
        <f t="shared" si="2"/>
        <v/>
      </c>
      <c r="H148" s="72"/>
      <c r="I148" s="70"/>
    </row>
    <row r="149" spans="1:10" ht="17.25" thickTop="1" thickBot="1">
      <c r="A149" s="70"/>
      <c r="B149" s="32">
        <v>144</v>
      </c>
      <c r="C149" s="33">
        <f>IF('After Exam Data Entry'!B149="", "", 'After Exam Data Entry'!B149)</f>
        <v>1</v>
      </c>
      <c r="D149" s="33">
        <f>IF(C149="", "", IF('After Exam Data Entry'!C149="", 0, 'After Exam Data Entry'!C149))</f>
        <v>0</v>
      </c>
      <c r="E149" s="33" t="str">
        <f>IF('MCQ TEST SHEET'!G150="", "", 'MCQ TEST SHEET'!G150)</f>
        <v/>
      </c>
      <c r="F149" s="33" t="str">
        <f>IF('After Exam Data Entry'!D149="", "", 'After Exam Data Entry'!D149)</f>
        <v>D</v>
      </c>
      <c r="G149" s="34" t="str">
        <f t="shared" si="2"/>
        <v/>
      </c>
      <c r="H149" s="72"/>
      <c r="I149" s="70"/>
    </row>
    <row r="150" spans="1:10" ht="17.25" thickTop="1" thickBot="1">
      <c r="A150" s="70"/>
      <c r="B150" s="32">
        <v>145</v>
      </c>
      <c r="C150" s="33">
        <f>IF('After Exam Data Entry'!B150="", "", 'After Exam Data Entry'!B150)</f>
        <v>1</v>
      </c>
      <c r="D150" s="33">
        <f>IF(C150="", "", IF('After Exam Data Entry'!C150="", 0, 'After Exam Data Entry'!C150))</f>
        <v>0</v>
      </c>
      <c r="E150" s="33" t="str">
        <f>IF('MCQ TEST SHEET'!G151="", "", 'MCQ TEST SHEET'!G151)</f>
        <v/>
      </c>
      <c r="F150" s="33" t="str">
        <f>IF('After Exam Data Entry'!D150="", "", 'After Exam Data Entry'!D150)</f>
        <v>C</v>
      </c>
      <c r="G150" s="34" t="str">
        <f t="shared" si="2"/>
        <v/>
      </c>
      <c r="H150" s="72"/>
      <c r="I150" s="70"/>
    </row>
    <row r="151" spans="1:10" ht="17.25" thickTop="1" thickBot="1">
      <c r="A151" s="70"/>
      <c r="B151" s="32">
        <v>146</v>
      </c>
      <c r="C151" s="33">
        <f>IF('After Exam Data Entry'!B151="", "", 'After Exam Data Entry'!B151)</f>
        <v>1</v>
      </c>
      <c r="D151" s="33">
        <f>IF(C151="", "", IF('After Exam Data Entry'!C151="", 0, 'After Exam Data Entry'!C151))</f>
        <v>0</v>
      </c>
      <c r="E151" s="33" t="str">
        <f>IF('MCQ TEST SHEET'!G152="", "", 'MCQ TEST SHEET'!G152)</f>
        <v/>
      </c>
      <c r="F151" s="33" t="str">
        <f>IF('After Exam Data Entry'!D151="", "", 'After Exam Data Entry'!D151)</f>
        <v>C</v>
      </c>
      <c r="G151" s="34" t="str">
        <f t="shared" si="2"/>
        <v/>
      </c>
      <c r="H151" s="72"/>
      <c r="I151" s="70"/>
    </row>
    <row r="152" spans="1:10" ht="17.25" thickTop="1" thickBot="1">
      <c r="A152" s="70"/>
      <c r="B152" s="32">
        <v>147</v>
      </c>
      <c r="C152" s="33">
        <f>IF('After Exam Data Entry'!B152="", "", 'After Exam Data Entry'!B152)</f>
        <v>1</v>
      </c>
      <c r="D152" s="33">
        <f>IF(C152="", "", IF('After Exam Data Entry'!C152="", 0, 'After Exam Data Entry'!C152))</f>
        <v>0</v>
      </c>
      <c r="E152" s="33" t="str">
        <f>IF('MCQ TEST SHEET'!G153="", "", 'MCQ TEST SHEET'!G153)</f>
        <v/>
      </c>
      <c r="F152" s="33" t="str">
        <f>IF('After Exam Data Entry'!D152="", "", 'After Exam Data Entry'!D152)</f>
        <v>A</v>
      </c>
      <c r="G152" s="34" t="str">
        <f t="shared" si="2"/>
        <v/>
      </c>
      <c r="H152" s="72"/>
      <c r="I152" s="70"/>
    </row>
    <row r="153" spans="1:10" ht="17.25" thickTop="1" thickBot="1">
      <c r="A153" s="70"/>
      <c r="B153" s="32">
        <v>148</v>
      </c>
      <c r="C153" s="33">
        <f>IF('After Exam Data Entry'!B153="", "", 'After Exam Data Entry'!B153)</f>
        <v>1</v>
      </c>
      <c r="D153" s="33">
        <f>IF(C153="", "", IF('After Exam Data Entry'!C153="", 0, 'After Exam Data Entry'!C153))</f>
        <v>0</v>
      </c>
      <c r="E153" s="33" t="str">
        <f>IF('MCQ TEST SHEET'!G154="", "", 'MCQ TEST SHEET'!G154)</f>
        <v/>
      </c>
      <c r="F153" s="33" t="str">
        <f>IF('After Exam Data Entry'!D153="", "", 'After Exam Data Entry'!D153)</f>
        <v>D</v>
      </c>
      <c r="G153" s="34" t="str">
        <f t="shared" si="2"/>
        <v/>
      </c>
      <c r="H153" s="72"/>
      <c r="I153" s="70"/>
    </row>
    <row r="154" spans="1:10" ht="17.25" thickTop="1" thickBot="1">
      <c r="A154" s="70"/>
      <c r="B154" s="32">
        <v>149</v>
      </c>
      <c r="C154" s="33">
        <f>IF('After Exam Data Entry'!B154="", "", 'After Exam Data Entry'!B154)</f>
        <v>1</v>
      </c>
      <c r="D154" s="33">
        <f>IF(C154="", "", IF('After Exam Data Entry'!C154="", 0, 'After Exam Data Entry'!C154))</f>
        <v>0</v>
      </c>
      <c r="E154" s="33" t="str">
        <f>IF('MCQ TEST SHEET'!G155="", "", 'MCQ TEST SHEET'!G155)</f>
        <v/>
      </c>
      <c r="F154" s="33" t="str">
        <f>IF('After Exam Data Entry'!D154="", "", 'After Exam Data Entry'!D154)</f>
        <v>B</v>
      </c>
      <c r="G154" s="34" t="str">
        <f t="shared" si="2"/>
        <v/>
      </c>
      <c r="H154" s="72"/>
      <c r="I154" s="70"/>
    </row>
    <row r="155" spans="1:10" ht="17.25" thickTop="1" thickBot="1">
      <c r="A155" s="70"/>
      <c r="B155" s="32">
        <v>150</v>
      </c>
      <c r="C155" s="33">
        <f>IF('After Exam Data Entry'!B155="", "", 'After Exam Data Entry'!B155)</f>
        <v>1</v>
      </c>
      <c r="D155" s="33">
        <f>IF(C155="", "", IF('After Exam Data Entry'!C155="", 0, 'After Exam Data Entry'!C155))</f>
        <v>0</v>
      </c>
      <c r="E155" s="33" t="str">
        <f>IF('MCQ TEST SHEET'!G156="", "", 'MCQ TEST SHEET'!G156)</f>
        <v/>
      </c>
      <c r="F155" s="33" t="str">
        <f>IF('After Exam Data Entry'!D155="", "", 'After Exam Data Entry'!D155)</f>
        <v>A</v>
      </c>
      <c r="G155" s="34" t="str">
        <f t="shared" si="2"/>
        <v/>
      </c>
      <c r="H155" s="72"/>
      <c r="I155" s="70"/>
    </row>
    <row r="156" spans="1:10" ht="20.45" hidden="1" customHeight="1" thickTop="1" thickBot="1">
      <c r="A156" s="70"/>
      <c r="B156" s="35"/>
      <c r="C156" s="33"/>
      <c r="D156" s="56"/>
      <c r="E156" s="57"/>
      <c r="F156" s="58"/>
      <c r="G156" s="34"/>
      <c r="H156" s="72"/>
      <c r="I156" s="70"/>
    </row>
    <row r="157" spans="1:10" ht="17.25" thickTop="1" thickBot="1">
      <c r="A157" s="70"/>
      <c r="B157" s="36" t="s">
        <v>13</v>
      </c>
      <c r="C157" s="33">
        <f>SUM(C6:C156)</f>
        <v>150</v>
      </c>
      <c r="D157" s="36"/>
      <c r="E157" s="43" t="s">
        <v>11</v>
      </c>
      <c r="F157" s="44"/>
      <c r="G157" s="34">
        <f>SUM(G6:G156)</f>
        <v>0</v>
      </c>
      <c r="H157" s="72"/>
      <c r="I157" s="70"/>
    </row>
    <row r="158" spans="1:10" ht="15" customHeight="1" thickTop="1" thickBot="1">
      <c r="A158" s="70"/>
      <c r="B158" s="36" t="s">
        <v>15</v>
      </c>
      <c r="C158" s="36" t="str">
        <f>IF(G158&lt;33%, "Fail", "Pass")</f>
        <v>Fail</v>
      </c>
      <c r="D158" s="37"/>
      <c r="E158" s="45" t="s">
        <v>16</v>
      </c>
      <c r="F158" s="46"/>
      <c r="G158" s="59">
        <f>(G157/C157)</f>
        <v>0</v>
      </c>
      <c r="H158" s="72"/>
      <c r="I158" s="70"/>
      <c r="J158" s="38"/>
    </row>
    <row r="159" spans="1:10" ht="23.45" customHeight="1" thickTop="1" thickBot="1">
      <c r="A159" s="70"/>
      <c r="B159" s="73" t="s">
        <v>17</v>
      </c>
      <c r="C159" s="74"/>
      <c r="D159" s="40" t="str">
        <f>IFERROR(IF(C160="", "", IF(C160&lt;=32%, "Needs Improvement", IF(C160&lt;=50%, "P", IF(C160&lt;=55%, "C", IF(C160&lt;=60%, "B", IF(C160&lt;=70%, "B+", IF(C160&lt;=80%, "A", IF(C160&lt;=90%, "A+", "A++" )))))))), "")</f>
        <v>Needs Improvement</v>
      </c>
      <c r="E159" s="41"/>
      <c r="F159" s="41"/>
      <c r="G159" s="41"/>
      <c r="H159" s="72"/>
      <c r="I159" s="70"/>
    </row>
    <row r="160" spans="1:10" hidden="1">
      <c r="C160" s="39">
        <f>G157/C157</f>
        <v>0</v>
      </c>
    </row>
    <row r="161" ht="15.75" thickTop="1"/>
  </sheetData>
  <sheetProtection selectLockedCells="1" selectUnlockedCells="1"/>
  <mergeCells count="5">
    <mergeCell ref="H2:I2"/>
    <mergeCell ref="H3:I3"/>
    <mergeCell ref="A4:A159"/>
    <mergeCell ref="H4:I159"/>
    <mergeCell ref="B159:C159"/>
  </mergeCells>
  <conditionalFormatting sqref="G6:G156">
    <cfRule type="cellIs" dxfId="2" priority="102" operator="lessThan">
      <formula>1</formula>
    </cfRule>
  </conditionalFormatting>
  <conditionalFormatting sqref="G157:G158">
    <cfRule type="cellIs" dxfId="1" priority="1" operator="lessThan">
      <formula>1</formula>
    </cfRule>
  </conditionalFormatting>
  <conditionalFormatting sqref="E6:E156">
    <cfRule type="aboveAverage" dxfId="0" priority="120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MCQ TEST SHEET</vt:lpstr>
      <vt:lpstr>After Exam Data Entry</vt:lpstr>
      <vt:lpstr>Marks Sheet</vt:lpstr>
      <vt:lpstr>Options</vt:lpstr>
      <vt:lpstr>'Marks Sheet'!Print_Area</vt:lpstr>
      <vt:lpstr>'MCQ TEST SHEET'!Print_Area</vt:lpstr>
      <vt:lpstr>'Marks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</dc:creator>
  <cp:lastModifiedBy>Manish Patel</cp:lastModifiedBy>
  <cp:lastPrinted>2019-06-28T12:24:36Z</cp:lastPrinted>
  <dcterms:created xsi:type="dcterms:W3CDTF">2019-06-24T06:48:07Z</dcterms:created>
  <dcterms:modified xsi:type="dcterms:W3CDTF">2023-11-03T09:15:10Z</dcterms:modified>
</cp:coreProperties>
</file>